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ce8197298754d52" /></Relationships>
</file>

<file path=xl/workbook.xml><?xml version="1.0" encoding="utf-8"?>
<x:workbook xmlns:x="http://schemas.openxmlformats.org/spreadsheetml/2006/main">
  <x:sheets>
    <x:sheet xmlns:r="http://schemas.openxmlformats.org/officeDocument/2006/relationships" name="测试总览" sheetId="1" r:id="R18e549adb67b44cc"/>
    <x:sheet xmlns:r="http://schemas.openxmlformats.org/officeDocument/2006/relationships" name="测试明细" sheetId="2" r:id="R32182924db02494a"/>
    <x:sheet xmlns:r="http://schemas.openxmlformats.org/officeDocument/2006/relationships" name="用例说明" sheetId="3" r:id="R9136c57f12034b4c"/>
    <x:sheet xmlns:r="http://schemas.openxmlformats.org/officeDocument/2006/relationships" name="失败明细" sheetId="4" r:id="R47726ba19d1b4a26"/>
    <x:sheet xmlns:r="http://schemas.openxmlformats.org/officeDocument/2006/relationships" name="历史趋势" sheetId="5" r:id="R53a14c270671439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
    <x:numFmt numFmtId="201" formatCode="0.0%"/>
    <x:numFmt numFmtId="202" formatCode="yyyy-mm-dd hh:mm:ss"/>
  </x:numFmts>
  <x:fonts count="9">
    <x:font>
      <x:sz val="11"/>
      <x:name val="Carlito"/>
    </x:font>
    <x:font>
      <x:b/>
      <x:sz val="16"/>
      <x:color rgb="FFFFFFFF"/>
      <x:name val="Carlito"/>
    </x:font>
    <x:font>
      <x:sz val="11"/>
      <x:color rgb="FF595959"/>
      <x:name val="Carlito"/>
    </x:font>
    <x:font>
      <x:b/>
      <x:sz val="11"/>
      <x:color rgb="FFFFFFFF"/>
      <x:name val="Carlito"/>
    </x:font>
    <x:font>
      <x:b/>
      <x:sz val="11"/>
      <x:color rgb="FF7F6000"/>
      <x:name val="Carlito"/>
    </x:font>
    <x:font>
      <x:b/>
      <x:sz val="20"/>
      <x:color rgb="FF17365D"/>
      <x:name val="Carlito"/>
    </x:font>
    <x:font>
      <x:b/>
      <x:sz val="16"/>
      <x:color rgb="FF17365D"/>
      <x:name val="Carlito"/>
    </x:font>
    <x:font>
      <x:b/>
      <x:sz val="11"/>
      <x:color rgb="FF17365D"/>
      <x:name val="Carlito"/>
    </x:font>
    <x:font>
      <x:b/>
      <x:sz val="11"/>
      <x:color rgb="FF375623"/>
      <x:name val="Carlito"/>
    </x:font>
  </x:fonts>
  <x:fills count="8">
    <x:fill>
      <x:patternFill patternType="none"/>
    </x:fill>
    <x:fill>
      <x:patternFill patternType="gray125"/>
    </x:fill>
    <x:fill>
      <x:patternFill patternType="solid">
        <x:fgColor rgb="FF17365D"/>
      </x:patternFill>
    </x:fill>
    <x:fill>
      <x:patternFill patternType="solid">
        <x:fgColor rgb="FFEEF5FB"/>
      </x:patternFill>
    </x:fill>
    <x:fill>
      <x:patternFill patternType="solid">
        <x:fgColor rgb="FFFFF2CC"/>
      </x:patternFill>
    </x:fill>
    <x:fill>
      <x:patternFill patternType="solid">
        <x:fgColor rgb="FFFFFFFF"/>
      </x:patternFill>
    </x:fill>
    <x:fill>
      <x:patternFill patternType="solid">
        <x:fgColor rgb="FFD9EAF7"/>
      </x:patternFill>
    </x:fill>
    <x:fill>
      <x:patternFill patternType="solid">
        <x:fgColor rgb="FFE2F0D9"/>
      </x:patternFill>
    </x:fill>
  </x:fills>
  <x:borders count="22">
    <x:border/>
    <x:border>
      <x:right style="thin">
        <x:color rgb="FFB4C6E7"/>
      </x:right>
    </x:border>
    <x:border>
      <x:left style="thin">
        <x:color rgb="FFB4C6E7"/>
      </x:left>
      <x:right style="thin">
        <x:color rgb="FFB4C6E7"/>
      </x:right>
    </x:border>
    <x:border>
      <x:left style="thin">
        <x:color rgb="FFB4C6E7"/>
      </x:left>
    </x:border>
    <x:border>
      <x:bottom style="thin">
        <x:color rgb="FFD9E2F3"/>
      </x:bottom>
    </x:border>
    <x:border>
      <x:top style="thin">
        <x:color rgb="FFD9E2F3"/>
      </x:top>
      <x:bottom style="thin">
        <x:color rgb="FFD9E2F3"/>
      </x:bottom>
    </x:border>
    <x:border>
      <x:top style="thin">
        <x:color rgb="FFD9E2F3"/>
      </x:top>
    </x:border>
    <x:border>
      <x:right style="thin">
        <x:color rgb="FFEAF0F8"/>
      </x:right>
      <x:bottom style="thin">
        <x:color rgb="FFD9E2F3"/>
      </x:bottom>
    </x:border>
    <x:border>
      <x:left style="thin">
        <x:color rgb="FFEAF0F8"/>
      </x:left>
      <x:right style="thin">
        <x:color rgb="FFEAF0F8"/>
      </x:right>
      <x:bottom style="thin">
        <x:color rgb="FFD9E2F3"/>
      </x:bottom>
    </x:border>
    <x:border>
      <x:left style="thin">
        <x:color rgb="FFEAF0F8"/>
      </x:left>
      <x:bottom style="thin">
        <x:color rgb="FFD9E2F3"/>
      </x:bottom>
    </x:border>
    <x:border>
      <x:right style="thin">
        <x:color rgb="FFEAF0F8"/>
      </x:right>
      <x:top style="thin">
        <x:color rgb="FFD9E2F3"/>
      </x:top>
      <x:bottom style="thin">
        <x:color rgb="FFD9E2F3"/>
      </x:bottom>
    </x:border>
    <x:border>
      <x:left style="thin">
        <x:color rgb="FFEAF0F8"/>
      </x:left>
      <x:right style="thin">
        <x:color rgb="FFEAF0F8"/>
      </x:right>
      <x:top style="thin">
        <x:color rgb="FFD9E2F3"/>
      </x:top>
      <x:bottom style="thin">
        <x:color rgb="FFD9E2F3"/>
      </x:bottom>
    </x:border>
    <x:border>
      <x:left style="thin">
        <x:color rgb="FFEAF0F8"/>
      </x:left>
      <x:top style="thin">
        <x:color rgb="FFD9E2F3"/>
      </x:top>
      <x:bottom style="thin">
        <x:color rgb="FFD9E2F3"/>
      </x:bottom>
    </x:border>
    <x:border>
      <x:right style="thin">
        <x:color rgb="FFEAF0F8"/>
      </x:right>
      <x:top style="thin">
        <x:color rgb="FFD9E2F3"/>
      </x:top>
    </x:border>
    <x:border>
      <x:left style="thin">
        <x:color rgb="FFEAF0F8"/>
      </x:left>
      <x:right style="thin">
        <x:color rgb="FFEAF0F8"/>
      </x:right>
      <x:top style="thin">
        <x:color rgb="FFD9E2F3"/>
      </x:top>
    </x:border>
    <x:border>
      <x:left style="thin">
        <x:color rgb="FFEAF0F8"/>
      </x:left>
      <x:top style="thin">
        <x:color rgb="FFD9E2F3"/>
      </x:top>
    </x:border>
    <x:border>
      <x:left style="thin">
        <x:color rgb="FFB4C6E7"/>
      </x:left>
      <x:top style="thin">
        <x:color rgb="FFB4C6E7"/>
      </x:top>
    </x:border>
    <x:border>
      <x:top style="thin">
        <x:color rgb="FFB4C6E7"/>
      </x:top>
    </x:border>
    <x:border>
      <x:right style="thin">
        <x:color rgb="FFB4C6E7"/>
      </x:right>
      <x:top style="thin">
        <x:color rgb="FFB4C6E7"/>
      </x:top>
    </x:border>
    <x:border>
      <x:left style="thin">
        <x:color rgb="FFB4C6E7"/>
      </x:left>
      <x:bottom style="thin">
        <x:color rgb="FFB4C6E7"/>
      </x:bottom>
    </x:border>
    <x:border>
      <x:bottom style="thin">
        <x:color rgb="FFB4C6E7"/>
      </x:bottom>
    </x:border>
    <x:border>
      <x:right style="thin">
        <x:color rgb="FFB4C6E7"/>
      </x:right>
      <x:bottom style="thin">
        <x:color rgb="FFB4C6E7"/>
      </x:bottom>
    </x:border>
  </x:borders>
  <x:cellStyleXfs count="1">
    <x:xf numFmtId="0" fontId="0" fillId="0" borderId="0"/>
  </x:cellStyleXfs>
  <x:cellXfs count="1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4" xfId="0" applyNumberFormat="1" applyFont="1" applyFill="1" applyBorder="1" applyAlignment="1">
      <x:alignment vertical="center"/>
    </x:xf>
    <x:xf numFmtId="0" fontId="0" fillId="0" borderId="5" xfId="0" applyNumberFormat="1" applyFont="1" applyFill="1" applyBorder="1" applyAlignment="1">
      <x:alignment vertical="center"/>
    </x:xf>
    <x:xf numFmtId="0" fontId="0" fillId="0" borderId="6" xfId="0" applyNumberFormat="1" applyFont="1" applyFill="1" applyBorder="1" applyAlignment="1">
      <x:alignment vertical="center"/>
    </x:xf>
    <x:xf numFmtId="0" fontId="0" fillId="0" borderId="4" xfId="0" applyNumberFormat="1" applyFont="1" applyFill="1" applyBorder="1" applyAlignment="1">
      <x:alignment horizontal="center" vertical="center"/>
    </x:xf>
    <x:xf numFmtId="0" fontId="0" fillId="0" borderId="5" xfId="0" applyNumberFormat="1" applyFont="1" applyFill="1" applyBorder="1" applyAlignment="1">
      <x:alignment horizontal="center" vertical="center"/>
    </x:xf>
    <x:xf numFmtId="0" fontId="0" fillId="0" borderId="6" xfId="0" applyNumberFormat="1" applyFont="1" applyFill="1" applyBorder="1" applyAlignment="1">
      <x:alignment horizontal="center" vertical="center"/>
    </x:xf>
    <x:xf numFmtId="200" fontId="0" fillId="0" borderId="4" xfId="0" applyNumberFormat="1" applyFont="1" applyFill="1" applyBorder="1" applyAlignment="1">
      <x:alignment vertical="center"/>
    </x:xf>
    <x:xf numFmtId="200" fontId="0" fillId="0" borderId="5" xfId="0" applyNumberFormat="1" applyFont="1" applyFill="1" applyBorder="1" applyAlignment="1">
      <x:alignment vertical="center"/>
    </x:xf>
    <x:xf numFmtId="200" fontId="0" fillId="0" borderId="6" xfId="0" applyNumberFormat="1" applyFont="1" applyFill="1" applyBorder="1" applyAlignment="1">
      <x:alignment vertical="center"/>
    </x:xf>
    <x:xf numFmtId="200" fontId="0" fillId="0" borderId="4" xfId="0" applyNumberFormat="1" applyFont="1" applyFill="1" applyBorder="1" applyAlignment="1">
      <x:alignment horizontal="right" vertical="center"/>
    </x:xf>
    <x:xf numFmtId="200" fontId="0" fillId="0" borderId="5" xfId="0" applyNumberFormat="1" applyFont="1" applyFill="1" applyBorder="1" applyAlignment="1">
      <x:alignment horizontal="right" vertical="center"/>
    </x:xf>
    <x:xf numFmtId="200" fontId="0" fillId="0" borderId="6" xfId="0" applyNumberFormat="1" applyFont="1" applyFill="1" applyBorder="1" applyAlignment="1">
      <x:alignment horizontal="right" vertical="center"/>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4" borderId="0" xfId="0" applyNumberFormat="1" applyFont="1" applyFill="1" applyBorder="1"/>
    <x:xf numFmtId="0" fontId="4" fillId="4" borderId="0" xfId="0" applyNumberFormat="1" applyFont="1" applyFill="1" applyBorder="1"/>
    <x:xf numFmtId="0" fontId="0" fillId="0" borderId="7" xfId="0" applyNumberFormat="1" applyFont="1" applyFill="1" applyBorder="1" applyAlignment="1">
      <x:alignment horizontal="center" vertical="center"/>
    </x:xf>
    <x:xf numFmtId="0" fontId="0" fillId="0" borderId="8" xfId="0" applyNumberFormat="1" applyFont="1" applyFill="1" applyBorder="1" applyAlignment="1">
      <x:alignment vertical="center"/>
    </x:xf>
    <x:xf numFmtId="0" fontId="0" fillId="0" borderId="9" xfId="0" applyNumberFormat="1" applyFont="1" applyFill="1" applyBorder="1" applyAlignment="1">
      <x:alignment vertical="center"/>
    </x:xf>
    <x:xf numFmtId="0" fontId="0" fillId="0" borderId="10" xfId="0" applyNumberFormat="1" applyFont="1" applyFill="1" applyBorder="1" applyAlignment="1">
      <x:alignment horizontal="center" vertical="center"/>
    </x:xf>
    <x:xf numFmtId="0" fontId="0" fillId="0" borderId="11" xfId="0" applyNumberFormat="1" applyFont="1" applyFill="1" applyBorder="1" applyAlignment="1">
      <x:alignment vertical="center"/>
    </x:xf>
    <x:xf numFmtId="0" fontId="0" fillId="0" borderId="12" xfId="0" applyNumberFormat="1" applyFont="1" applyFill="1" applyBorder="1" applyAlignment="1">
      <x:alignment vertical="center"/>
    </x:xf>
    <x:xf numFmtId="0" fontId="0" fillId="0" borderId="13" xfId="0" applyNumberFormat="1" applyFont="1" applyFill="1" applyBorder="1" applyAlignment="1">
      <x:alignment horizontal="center" vertical="center"/>
    </x:xf>
    <x:xf numFmtId="0" fontId="0" fillId="0" borderId="14" xfId="0" applyNumberFormat="1" applyFont="1" applyFill="1" applyBorder="1" applyAlignment="1">
      <x:alignment vertical="center"/>
    </x:xf>
    <x:xf numFmtId="0" fontId="0" fillId="0" borderId="15" xfId="0" applyNumberFormat="1" applyFont="1" applyFill="1" applyBorder="1" applyAlignment="1">
      <x:alignment vertical="center"/>
    </x:xf>
    <x:xf numFmtId="0" fontId="0" fillId="0" borderId="8"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4" xfId="0" applyNumberFormat="1" applyFont="1" applyFill="1" applyBorder="1" applyAlignment="1">
      <x:alignment vertical="center" wrapText="1"/>
    </x:xf>
    <x:xf numFmtId="0" fontId="0" fillId="0" borderId="8" xfId="0" applyNumberFormat="1" applyFont="1" applyFill="1" applyBorder="1" applyAlignment="1">
      <x:alignment horizontal="center" vertical="center"/>
    </x:xf>
    <x:xf numFmtId="0" fontId="0" fillId="0" borderId="11" xfId="0" applyNumberFormat="1" applyFont="1" applyFill="1" applyBorder="1" applyAlignment="1">
      <x:alignment horizontal="center" vertical="center"/>
    </x:xf>
    <x:xf numFmtId="0" fontId="0" fillId="0" borderId="14" xfId="0" applyNumberFormat="1" applyFont="1" applyFill="1" applyBorder="1" applyAlignment="1">
      <x:alignment horizontal="center" vertical="center"/>
    </x:xf>
    <x:xf numFmtId="200" fontId="0" fillId="0" borderId="8" xfId="0" applyNumberFormat="1" applyFont="1" applyFill="1" applyBorder="1" applyAlignment="1">
      <x:alignment vertical="center"/>
    </x:xf>
    <x:xf numFmtId="200" fontId="0" fillId="0" borderId="11" xfId="0" applyNumberFormat="1" applyFont="1" applyFill="1" applyBorder="1" applyAlignment="1">
      <x:alignment vertical="center"/>
    </x:xf>
    <x:xf numFmtId="200" fontId="0" fillId="0" borderId="14" xfId="0" applyNumberFormat="1" applyFont="1" applyFill="1" applyBorder="1" applyAlignment="1">
      <x:alignment vertical="center"/>
    </x:xf>
    <x:xf numFmtId="0" fontId="0" fillId="0" borderId="9" xfId="0" applyNumberFormat="1" applyFont="1" applyFill="1" applyBorder="1" applyAlignment="1">
      <x:alignment horizontal="center" vertical="center"/>
    </x:xf>
    <x:xf numFmtId="0" fontId="0" fillId="0" borderId="12" xfId="0" applyNumberFormat="1" applyFont="1" applyFill="1" applyBorder="1" applyAlignment="1">
      <x:alignment horizontal="center" vertical="center"/>
    </x:xf>
    <x:xf numFmtId="0" fontId="0" fillId="0" borderId="15" xfId="0" applyNumberFormat="1" applyFont="1" applyFill="1" applyBorder="1" applyAlignment="1">
      <x:alignment horizontal="center" vertical="center"/>
    </x:xf>
    <x:xf numFmtId="0" fontId="0" fillId="5" borderId="0" xfId="0" applyNumberFormat="1" applyFont="1" applyFill="1" applyBorder="1"/>
    <x:xf numFmtId="0" fontId="5" fillId="5" borderId="0" xfId="0" applyNumberFormat="1" applyFont="1" applyFill="1" applyBorder="1"/>
    <x:xf numFmtId="0" fontId="5" fillId="5" borderId="16" xfId="0" applyNumberFormat="1" applyFont="1" applyFill="1" applyBorder="1"/>
    <x:xf numFmtId="0" fontId="5" fillId="5" borderId="17" xfId="0" applyNumberFormat="1" applyFont="1" applyFill="1" applyBorder="1"/>
    <x:xf numFmtId="0" fontId="5" fillId="5" borderId="18" xfId="0" applyNumberFormat="1" applyFont="1" applyFill="1" applyBorder="1"/>
    <x:xf numFmtId="0" fontId="5" fillId="5" borderId="19" xfId="0" applyNumberFormat="1" applyFont="1" applyFill="1" applyBorder="1"/>
    <x:xf numFmtId="0" fontId="5" fillId="5" borderId="20" xfId="0" applyNumberFormat="1" applyFont="1" applyFill="1" applyBorder="1"/>
    <x:xf numFmtId="0" fontId="5" fillId="5" borderId="21" xfId="0" applyNumberFormat="1" applyFont="1" applyFill="1" applyBorder="1"/>
    <x:xf numFmtId="0" fontId="5" fillId="5" borderId="16" xfId="0" applyNumberFormat="1" applyFont="1" applyFill="1" applyBorder="1" applyAlignment="1">
      <x:alignment horizontal="center"/>
    </x:xf>
    <x:xf numFmtId="0" fontId="5" fillId="5" borderId="17" xfId="0" applyNumberFormat="1" applyFont="1" applyFill="1" applyBorder="1" applyAlignment="1">
      <x:alignment horizontal="center"/>
    </x:xf>
    <x:xf numFmtId="0" fontId="5" fillId="5" borderId="18" xfId="0" applyNumberFormat="1" applyFont="1" applyFill="1" applyBorder="1" applyAlignment="1">
      <x:alignment horizontal="center"/>
    </x:xf>
    <x:xf numFmtId="0" fontId="5" fillId="5" borderId="19" xfId="0" applyNumberFormat="1" applyFont="1" applyFill="1" applyBorder="1" applyAlignment="1">
      <x:alignment horizontal="center"/>
    </x:xf>
    <x:xf numFmtId="0" fontId="5" fillId="5" borderId="20" xfId="0" applyNumberFormat="1" applyFont="1" applyFill="1" applyBorder="1" applyAlignment="1">
      <x:alignment horizontal="center"/>
    </x:xf>
    <x:xf numFmtId="0" fontId="5" fillId="5" borderId="21" xfId="0" applyNumberFormat="1" applyFont="1" applyFill="1" applyBorder="1" applyAlignment="1">
      <x:alignment horizontal="center"/>
    </x:xf>
    <x:xf numFmtId="0" fontId="5" fillId="5" borderId="16" xfId="0" applyNumberFormat="1" applyFont="1" applyFill="1" applyBorder="1" applyAlignment="1">
      <x:alignment horizontal="center" vertical="center"/>
    </x:xf>
    <x:xf numFmtId="0" fontId="5" fillId="5" borderId="17" xfId="0" applyNumberFormat="1" applyFont="1" applyFill="1" applyBorder="1" applyAlignment="1">
      <x:alignment horizontal="center" vertical="center"/>
    </x:xf>
    <x:xf numFmtId="0" fontId="5" fillId="5" borderId="18" xfId="0" applyNumberFormat="1" applyFont="1" applyFill="1" applyBorder="1" applyAlignment="1">
      <x:alignment horizontal="center" vertical="center"/>
    </x:xf>
    <x:xf numFmtId="0" fontId="5" fillId="5" borderId="19" xfId="0" applyNumberFormat="1" applyFont="1" applyFill="1" applyBorder="1" applyAlignment="1">
      <x:alignment horizontal="center" vertical="center"/>
    </x:xf>
    <x:xf numFmtId="0" fontId="5" fillId="5" borderId="20" xfId="0" applyNumberFormat="1" applyFont="1" applyFill="1" applyBorder="1" applyAlignment="1">
      <x:alignment horizontal="center" vertical="center"/>
    </x:xf>
    <x:xf numFmtId="0" fontId="5" fillId="5" borderId="21" xfId="0" applyNumberFormat="1" applyFont="1" applyFill="1" applyBorder="1" applyAlignment="1">
      <x:alignment horizontal="center" vertical="center"/>
    </x:xf>
    <x:xf numFmtId="201" fontId="0" fillId="0" borderId="0" xfId="0" applyNumberFormat="1" applyFont="1" applyFill="1" applyBorder="1"/>
    <x:xf numFmtId="200" fontId="0" fillId="0" borderId="0" xfId="0" applyNumberFormat="1" applyFont="1" applyFill="1" applyBorder="1"/>
    <x:xf numFmtId="201" fontId="0" fillId="5" borderId="0" xfId="0" applyNumberFormat="1" applyFont="1" applyFill="1" applyBorder="1"/>
    <x:xf numFmtId="200" fontId="0" fillId="5" borderId="0" xfId="0" applyNumberFormat="1" applyFont="1" applyFill="1" applyBorder="1"/>
    <x:xf numFmtId="201" fontId="6" fillId="5" borderId="0" xfId="0" applyNumberFormat="1" applyFont="1" applyFill="1" applyBorder="1"/>
    <x:xf numFmtId="200" fontId="6" fillId="5" borderId="0" xfId="0" applyNumberFormat="1" applyFont="1" applyFill="1" applyBorder="1"/>
    <x:xf numFmtId="0" fontId="6" fillId="5" borderId="0" xfId="0" applyNumberFormat="1" applyFont="1" applyFill="1" applyBorder="1"/>
    <x:xf numFmtId="201" fontId="6" fillId="5" borderId="16" xfId="0" applyNumberFormat="1" applyFont="1" applyFill="1" applyBorder="1"/>
    <x:xf numFmtId="201" fontId="6" fillId="5" borderId="17" xfId="0" applyNumberFormat="1" applyFont="1" applyFill="1" applyBorder="1"/>
    <x:xf numFmtId="200" fontId="6" fillId="5" borderId="17" xfId="0" applyNumberFormat="1" applyFont="1" applyFill="1" applyBorder="1"/>
    <x:xf numFmtId="0" fontId="6" fillId="5" borderId="17" xfId="0" applyNumberFormat="1" applyFont="1" applyFill="1" applyBorder="1"/>
    <x:xf numFmtId="0" fontId="6" fillId="5" borderId="18" xfId="0" applyNumberFormat="1" applyFont="1" applyFill="1" applyBorder="1"/>
    <x:xf numFmtId="201" fontId="6" fillId="5" borderId="19" xfId="0" applyNumberFormat="1" applyFont="1" applyFill="1" applyBorder="1"/>
    <x:xf numFmtId="201" fontId="6" fillId="5" borderId="20" xfId="0" applyNumberFormat="1" applyFont="1" applyFill="1" applyBorder="1"/>
    <x:xf numFmtId="200" fontId="6" fillId="5" borderId="20" xfId="0" applyNumberFormat="1" applyFont="1" applyFill="1" applyBorder="1"/>
    <x:xf numFmtId="0" fontId="6" fillId="5" borderId="20" xfId="0" applyNumberFormat="1" applyFont="1" applyFill="1" applyBorder="1"/>
    <x:xf numFmtId="0" fontId="6" fillId="5" borderId="21" xfId="0" applyNumberFormat="1" applyFont="1" applyFill="1" applyBorder="1"/>
    <x:xf numFmtId="201" fontId="6" fillId="5" borderId="16" xfId="0" applyNumberFormat="1" applyFont="1" applyFill="1" applyBorder="1" applyAlignment="1">
      <x:alignment horizontal="center"/>
    </x:xf>
    <x:xf numFmtId="201" fontId="6" fillId="5" borderId="17" xfId="0" applyNumberFormat="1" applyFont="1" applyFill="1" applyBorder="1" applyAlignment="1">
      <x:alignment horizontal="center"/>
    </x:xf>
    <x:xf numFmtId="200" fontId="6" fillId="5" borderId="17" xfId="0" applyNumberFormat="1" applyFont="1" applyFill="1" applyBorder="1" applyAlignment="1">
      <x:alignment horizontal="center"/>
    </x:xf>
    <x:xf numFmtId="0" fontId="6" fillId="5" borderId="17" xfId="0" applyNumberFormat="1" applyFont="1" applyFill="1" applyBorder="1" applyAlignment="1">
      <x:alignment horizontal="center"/>
    </x:xf>
    <x:xf numFmtId="0" fontId="6" fillId="5" borderId="18" xfId="0" applyNumberFormat="1" applyFont="1" applyFill="1" applyBorder="1" applyAlignment="1">
      <x:alignment horizontal="center"/>
    </x:xf>
    <x:xf numFmtId="201" fontId="6" fillId="5" borderId="19" xfId="0" applyNumberFormat="1" applyFont="1" applyFill="1" applyBorder="1" applyAlignment="1">
      <x:alignment horizontal="center"/>
    </x:xf>
    <x:xf numFmtId="201" fontId="6" fillId="5" borderId="20" xfId="0" applyNumberFormat="1" applyFont="1" applyFill="1" applyBorder="1" applyAlignment="1">
      <x:alignment horizontal="center"/>
    </x:xf>
    <x:xf numFmtId="200" fontId="6" fillId="5" borderId="20" xfId="0" applyNumberFormat="1" applyFont="1" applyFill="1" applyBorder="1" applyAlignment="1">
      <x:alignment horizontal="center"/>
    </x:xf>
    <x:xf numFmtId="0" fontId="6" fillId="5" borderId="20" xfId="0" applyNumberFormat="1" applyFont="1" applyFill="1" applyBorder="1" applyAlignment="1">
      <x:alignment horizontal="center"/>
    </x:xf>
    <x:xf numFmtId="0" fontId="6" fillId="5" borderId="21" xfId="0" applyNumberFormat="1" applyFont="1" applyFill="1" applyBorder="1" applyAlignment="1">
      <x:alignment horizontal="center"/>
    </x:xf>
    <x:xf numFmtId="201" fontId="6" fillId="5" borderId="16" xfId="0" applyNumberFormat="1" applyFont="1" applyFill="1" applyBorder="1" applyAlignment="1">
      <x:alignment horizontal="center" vertical="center"/>
    </x:xf>
    <x:xf numFmtId="201" fontId="6" fillId="5" borderId="17" xfId="0" applyNumberFormat="1" applyFont="1" applyFill="1" applyBorder="1" applyAlignment="1">
      <x:alignment horizontal="center" vertical="center"/>
    </x:xf>
    <x:xf numFmtId="200" fontId="6" fillId="5" borderId="17" xfId="0" applyNumberFormat="1" applyFont="1" applyFill="1" applyBorder="1" applyAlignment="1">
      <x:alignment horizontal="center" vertical="center"/>
    </x:xf>
    <x:xf numFmtId="0" fontId="6" fillId="5" borderId="17" xfId="0" applyNumberFormat="1" applyFont="1" applyFill="1" applyBorder="1" applyAlignment="1">
      <x:alignment horizontal="center" vertical="center"/>
    </x:xf>
    <x:xf numFmtId="0" fontId="6" fillId="5" borderId="18" xfId="0" applyNumberFormat="1" applyFont="1" applyFill="1" applyBorder="1" applyAlignment="1">
      <x:alignment horizontal="center" vertical="center"/>
    </x:xf>
    <x:xf numFmtId="201" fontId="6" fillId="5" borderId="19" xfId="0" applyNumberFormat="1" applyFont="1" applyFill="1" applyBorder="1" applyAlignment="1">
      <x:alignment horizontal="center" vertical="center"/>
    </x:xf>
    <x:xf numFmtId="201" fontId="6" fillId="5" borderId="20" xfId="0" applyNumberFormat="1" applyFont="1" applyFill="1" applyBorder="1" applyAlignment="1">
      <x:alignment horizontal="center" vertical="center"/>
    </x:xf>
    <x:xf numFmtId="200" fontId="6" fillId="5" borderId="20" xfId="0" applyNumberFormat="1" applyFont="1" applyFill="1" applyBorder="1" applyAlignment="1">
      <x:alignment horizontal="center" vertical="center"/>
    </x:xf>
    <x:xf numFmtId="0" fontId="6" fillId="5" borderId="20" xfId="0" applyNumberFormat="1" applyFont="1" applyFill="1" applyBorder="1" applyAlignment="1">
      <x:alignment horizontal="center" vertical="center"/>
    </x:xf>
    <x:xf numFmtId="0" fontId="6" fillId="5" borderId="21" xfId="0" applyNumberFormat="1" applyFont="1" applyFill="1" applyBorder="1" applyAlignment="1">
      <x:alignment horizontal="center" vertical="center"/>
    </x:xf>
    <x:xf numFmtId="0" fontId="0" fillId="6" borderId="0" xfId="0" applyNumberFormat="1" applyFont="1" applyFill="1" applyBorder="1"/>
    <x:xf numFmtId="0" fontId="7" fillId="6" borderId="0" xfId="0" applyNumberFormat="1" applyFont="1" applyFill="1" applyBorder="1"/>
    <x:xf numFmtId="0" fontId="7" fillId="0" borderId="4" xfId="0" applyNumberFormat="1" applyFont="1" applyFill="1" applyBorder="1" applyAlignment="1">
      <x:alignment vertical="center"/>
    </x:xf>
    <x:xf numFmtId="0" fontId="7" fillId="0" borderId="5" xfId="0" applyNumberFormat="1" applyFont="1" applyFill="1" applyBorder="1" applyAlignment="1">
      <x:alignment vertical="center"/>
    </x:xf>
    <x:xf numFmtId="0" fontId="7" fillId="0" borderId="6" xfId="0" applyNumberFormat="1" applyFont="1" applyFill="1" applyBorder="1" applyAlignment="1">
      <x:alignment vertical="center"/>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horizontal="center"/>
    </x:xf>
    <x:xf numFmtId="0" fontId="8" fillId="7" borderId="0" xfId="0" applyNumberFormat="1" applyFont="1" applyFill="1" applyBorder="1" applyAlignment="1">
      <x:alignment horizontal="center" vertical="center"/>
    </x:xf>
    <x:xf numFmtId="202" fontId="0" fillId="0" borderId="4" xfId="0" applyNumberFormat="1" applyFont="1" applyFill="1" applyBorder="1" applyAlignment="1">
      <x:alignment vertical="center"/>
    </x:xf>
    <x:xf numFmtId="202" fontId="0" fillId="0" borderId="5" xfId="0" applyNumberFormat="1" applyFont="1" applyFill="1" applyBorder="1" applyAlignment="1">
      <x:alignment vertical="center"/>
    </x:xf>
    <x:xf numFmtId="202" fontId="0" fillId="0" borderId="6" xfId="0" applyNumberFormat="1" applyFont="1" applyFill="1" applyBorder="1" applyAlignment="1">
      <x:alignment vertical="center"/>
    </x:xf>
    <x:xf numFmtId="201" fontId="0" fillId="0" borderId="4" xfId="0" applyNumberFormat="1" applyFont="1" applyFill="1" applyBorder="1" applyAlignment="1">
      <x:alignment vertical="center"/>
    </x:xf>
    <x:xf numFmtId="201" fontId="0" fillId="0" borderId="5" xfId="0" applyNumberFormat="1" applyFont="1" applyFill="1" applyBorder="1" applyAlignment="1">
      <x:alignment vertical="center"/>
    </x:xf>
    <x:xf numFmtId="201" fontId="0" fillId="0" borderId="6" xfId="0" applyNumberFormat="1" applyFont="1" applyFill="1" applyBorder="1" applyAlignment="1">
      <x:alignment vertical="center"/>
    </x:xf>
  </x:cellXfs>
  <x:cellStyles count="1">
    <x:cellStyle name="Normal" xfId="0"/>
  </x:cellStyles>
  <x:dxfs count="9">
    <x:dxf>
      <x:font>
        <x:b/>
        <x:color rgb="FF375623"/>
      </x:font>
      <x:fill>
        <x:patternFill patternType="solid">
          <x:bgColor rgb="FFE2F0D9"/>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7F6000"/>
      </x:font>
      <x:fill>
        <x:patternFill patternType="solid">
          <x:bgColor rgb="FFFFF2CC"/>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7F6000"/>
      </x:font>
      <x:fill>
        <x:patternFill patternType="solid">
          <x:bgColor rgb="FFFFF2CC"/>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3f0c5b4bd8c4941" /><Relationship Type="http://schemas.openxmlformats.org/officeDocument/2006/relationships/theme" Target="/xl/theme/theme1.xml" Id="R008e4b48d82a4faf" /><Relationship Type="http://schemas.openxmlformats.org/officeDocument/2006/relationships/sharedStrings" Target="/xl/sharedStrings.xml" Id="Rafa54d11a6a14e0e" /><Relationship Type="http://schemas.openxmlformats.org/officeDocument/2006/relationships/worksheet" Target="/xl/worksheets/sheet1.xml" Id="R18e549adb67b44cc" /><Relationship Type="http://schemas.openxmlformats.org/officeDocument/2006/relationships/worksheet" Target="/xl/worksheets/sheet2.xml" Id="R32182924db02494a" /><Relationship Type="http://schemas.openxmlformats.org/officeDocument/2006/relationships/worksheet" Target="/xl/worksheets/sheet3.xml" Id="R9136c57f12034b4c" /><Relationship Type="http://schemas.openxmlformats.org/officeDocument/2006/relationships/worksheet" Target="/xl/worksheets/sheet4.xml" Id="R47726ba19d1b4a26" /><Relationship Type="http://schemas.openxmlformats.org/officeDocument/2006/relationships/worksheet" Target="/xl/worksheets/sheet5.xml" Id="R53a14c2706714391" /></Relationships>
</file>

<file path=xl/tables/table1.xml><?xml version="1.0" encoding="utf-8"?>
<x:table xmlns:x="http://schemas.openxmlformats.org/spreadsheetml/2006/main" id="1" name="TestDetailsTable" displayName="TestDetailsTable" ref="A4:H209" headerRowCount="1" totalsRowCount="0" totalsRowShown="0">
  <x:tableColumns count="8">
    <x:tableColumn id="1" name="序号"/>
    <x:tableColumn id="2" name="测试文件"/>
    <x:tableColumn id="3" name="测试用例"/>
    <x:tableColumn id="4" name="参数场景"/>
    <x:tableColumn id="5" name="状态"/>
    <x:tableColumn id="6" name="耗时（秒）"/>
    <x:tableColumn id="7" name="测试作用"/>
    <x:tableColumn id="8" name="消息"/>
  </x:tableColumns>
  <x:tableStyleInfo name="TableStyleMedium2" showFirstColumn="0" showLastColumn="0" showRowStripes="1" showColumnStripes="0"/>
</x:table>
</file>

<file path=xl/tables/table2.xml><?xml version="1.0" encoding="utf-8"?>
<x:table xmlns:x="http://schemas.openxmlformats.org/spreadsheetml/2006/main" id="2" name="TestExplanationsTable" displayName="TestExplanationsTable" ref="A4:J209" headerRowCount="1" totalsRowCount="0" totalsRowShown="0">
  <x:tableColumns count="10">
    <x:tableColumn id="1" name="序号"/>
    <x:tableColumn id="2" name="测试文件"/>
    <x:tableColumn id="3" name="测试用例"/>
    <x:tableColumn id="4" name="参数场景"/>
    <x:tableColumn id="5" name="测试作用"/>
    <x:tableColumn id="6" name="通过代表"/>
    <x:tableColumn id="7" name="失败代表"/>
    <x:tableColumn id="8" name="本次结果"/>
    <x:tableColumn id="9" name="耗时（秒）"/>
    <x:tableColumn id="10" name="说明登记"/>
  </x:tableColumns>
  <x:tableStyleInfo name="TableStyleMedium2" showFirstColumn="0" showLastColumn="0" showRowStripes="1" showColumnStripes="0"/>
</x:table>
</file>

<file path=xl/tables/table3.xml><?xml version="1.0" encoding="utf-8"?>
<x:table xmlns:x="http://schemas.openxmlformats.org/spreadsheetml/2006/main" id="3" name="TestHistoryTable" displayName="TestHistoryTable" ref="A3:J44" headerRowCount="1" totalsRowCount="0" totalsRowShown="0">
  <x:tableColumns count="10">
    <x:tableColumn id="1" name="运行时间"/>
    <x:tableColumn id="2" name="Git Commit"/>
    <x:tableColumn id="3" name="总数"/>
    <x:tableColumn id="4" name="通过"/>
    <x:tableColumn id="5" name="失败"/>
    <x:tableColumn id="6" name="错误"/>
    <x:tableColumn id="7" name="跳过"/>
    <x:tableColumn id="8" name="通过率"/>
    <x:tableColumn id="9" name="耗时（秒）"/>
    <x:tableColumn id="10" name="退出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86a297fc97f42ed" /></Relationships>
</file>

<file path=xl/worksheets/_rels/sheet3.xml.rels>&#65279;<?xml version="1.0" encoding="utf-8"?><Relationships xmlns="http://schemas.openxmlformats.org/package/2006/relationships"><Relationship Type="http://schemas.openxmlformats.org/officeDocument/2006/relationships/table" Target="/xl/tables/table2.xml" Id="R506bed307c8749e6" /></Relationships>
</file>

<file path=xl/worksheets/_rels/sheet5.xml.rels>&#65279;<?xml version="1.0" encoding="utf-8"?><Relationships xmlns="http://schemas.openxmlformats.org/package/2006/relationships"><Relationship Type="http://schemas.openxmlformats.org/officeDocument/2006/relationships/table" Target="/xl/tables/table3.xml" Id="R581d0fc40e8740fd"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14" hidden="0" customWidth="1"/>
    <x:col min="4" max="4" width="16" hidden="0" customWidth="1"/>
    <x:col min="5" max="5" width="14" hidden="0" customWidth="1"/>
    <x:col min="6" max="6" width="16" hidden="0" customWidth="1"/>
    <x:col min="7" max="7" width="14" hidden="0" customWidth="1"/>
    <x:col min="8" max="8" width="16" hidden="0" customWidth="1"/>
  </x:cols>
  <x:sheetData>
    <x:row r="1" ht="30" customHeight="1">
      <x:c r="A1" s="3" t="str">
        <x:v>PaperAgent 本地单元测试报告</x:v>
      </x:c>
      <x:c r="B1" s="3"/>
      <x:c r="C1" s="3"/>
      <x:c r="D1" s="3"/>
      <x:c r="E1" s="3"/>
      <x:c r="F1" s="3"/>
      <x:c r="G1" s="3"/>
      <x:c r="H1" s="3"/>
    </x:row>
    <x:row r="2">
      <x:c r="A2" s="5" t="str">
        <x:v>运行时间：2026-08-13T11:12:50+08:00  |  Git：39a19fca1f844df50e7f0bf2f4be816c7b3c4672</x:v>
      </x:c>
      <x:c r="B2" s="5"/>
      <x:c r="C2" s="5"/>
      <x:c r="D2" s="5"/>
      <x:c r="E2" s="5"/>
      <x:c r="F2" s="5"/>
      <x:c r="G2" s="5"/>
      <x:c r="H2" s="5"/>
    </x:row>
    <x:row r="4">
      <x:c r="A4" s="16" t="str">
        <x:v>测试总数</x:v>
      </x:c>
      <x:c r="B4" s="17" t="str"/>
      <x:c r="C4" s="17" t="str">
        <x:v>通过</x:v>
      </x:c>
      <x:c r="D4" s="17" t="str"/>
      <x:c r="E4" s="17" t="str">
        <x:v>失败/错误</x:v>
      </x:c>
      <x:c r="F4" s="17" t="str"/>
      <x:c r="G4" s="17" t="str">
        <x:v>跳过</x:v>
      </x:c>
      <x:c r="H4" s="18" t="str"/>
    </x:row>
    <x:row r="5">
      <x:c r="A5" s="74" t="n">
        <x:f>COUNTA('测试明细'!$A$5:$A$209)</x:f>
        <x:v>205</x:v>
      </x:c>
      <x:c r="B5" s="75"/>
      <x:c r="C5" s="75" t="n">
        <x:f>COUNTIF('测试明细'!$E$5:$E$209,"通过")</x:f>
        <x:v>205</x:v>
      </x:c>
      <x:c r="D5" s="75"/>
      <x:c r="E5" s="75" t="n">
        <x:f>COUNTIF('测试明细'!$E$5:$E$209,"失败")+COUNTIF('测试明细'!$E$5:$E$209,"错误")</x:f>
        <x:v>0</x:v>
      </x:c>
      <x:c r="F5" s="75"/>
      <x:c r="G5" s="75" t="n">
        <x:f>COUNTIF('测试明细'!$E$5:$E$209,"跳过")</x:f>
        <x:v>0</x:v>
      </x:c>
      <x:c r="H5" s="76"/>
    </x:row>
    <x:row r="6">
      <x:c r="A6" s="77"/>
      <x:c r="B6" s="78"/>
      <x:c r="C6" s="78"/>
      <x:c r="D6" s="78"/>
      <x:c r="E6" s="78"/>
      <x:c r="F6" s="78"/>
      <x:c r="G6" s="78"/>
      <x:c r="H6" s="79"/>
    </x:row>
    <x:row r="8">
      <x:c r="A8" s="16" t="str">
        <x:v>通过率</x:v>
      </x:c>
      <x:c r="B8" s="17" t="str"/>
      <x:c r="C8" s="17" t="str">
        <x:v>用例总耗时（秒）</x:v>
      </x:c>
      <x:c r="D8" s="17" t="str"/>
      <x:c r="E8" s="17" t="str">
        <x:v>pytest 退出码</x:v>
      </x:c>
      <x:c r="F8" s="17" t="str"/>
      <x:c r="G8" s="17" t="str">
        <x:v>说明登记缺失</x:v>
      </x:c>
      <x:c r="H8" s="18" t="str"/>
    </x:row>
    <x:row r="9">
      <x:c r="A9" s="107" t="n">
        <x:f>IF(A5=0,0,C5/A5)</x:f>
        <x:v>1</x:v>
      </x:c>
      <x:c r="B9" s="108"/>
      <x:c r="C9" s="109" t="n">
        <x:f>SUM('测试明细'!$F$5:$F$209)</x:f>
        <x:v>133.42200000000025</x:v>
      </x:c>
      <x:c r="D9" s="109"/>
      <x:c r="E9" s="110" t="n">
        <x:v>0</x:v>
      </x:c>
      <x:c r="F9" s="110"/>
      <x:c r="G9" s="110" t="n">
        <x:f>COUNTIF('用例说明'!$J$5:$J$209,"未登记")</x:f>
        <x:v>0</x:v>
      </x:c>
      <x:c r="H9" s="111"/>
    </x:row>
    <x:row r="10">
      <x:c r="A10" s="112"/>
      <x:c r="B10" s="113"/>
      <x:c r="C10" s="114"/>
      <x:c r="D10" s="114"/>
      <x:c r="E10" s="115"/>
      <x:c r="F10" s="115"/>
      <x:c r="G10" s="115"/>
      <x:c r="H10" s="116"/>
    </x:row>
    <x:row r="12">
      <x:c r="A12" s="118" t="str">
        <x:v>指标计算口径</x:v>
      </x:c>
      <x:c r="B12" s="118"/>
      <x:c r="C12" s="118"/>
      <x:c r="D12" s="118"/>
      <x:c r="E12" s="118"/>
      <x:c r="F12" s="118"/>
      <x:c r="G12" s="118"/>
      <x:c r="H12" s="118"/>
    </x:row>
    <x:row r="13">
      <x:c r="A13" s="119" t="str">
        <x:v>测试总数</x:v>
      </x:c>
      <x:c r="B13" s="34" t="str">
        <x:v>JUnit XML 中 testcase 记录数</x:v>
      </x:c>
      <x:c r="C13" s="34" t="str"/>
      <x:c r="D13" s="34" t="str"/>
      <x:c r="E13" s="34" t="str"/>
      <x:c r="F13" s="34" t="str"/>
      <x:c r="G13" s="34" t="str"/>
      <x:c r="H13" s="34" t="str"/>
    </x:row>
    <x:row r="14">
      <x:c r="A14" s="120" t="str">
        <x:v>通过/失败/错误/跳过</x:v>
      </x:c>
      <x:c r="B14" s="35" t="str">
        <x:v>按测试明细的状态列计数</x:v>
      </x:c>
      <x:c r="C14" s="35" t="str"/>
      <x:c r="D14" s="35" t="str"/>
      <x:c r="E14" s="35" t="str"/>
      <x:c r="F14" s="35" t="str"/>
      <x:c r="G14" s="35" t="str"/>
      <x:c r="H14" s="35" t="str"/>
    </x:row>
    <x:row r="15">
      <x:c r="A15" s="120" t="str">
        <x:v>通过率</x:v>
      </x:c>
      <x:c r="B15" s="35" t="str">
        <x:v>通过数 ÷ 测试总数</x:v>
      </x:c>
      <x:c r="C15" s="35" t="str"/>
      <x:c r="D15" s="35" t="str"/>
      <x:c r="E15" s="35" t="str"/>
      <x:c r="F15" s="35" t="str"/>
      <x:c r="G15" s="35" t="str"/>
      <x:c r="H15" s="35" t="str"/>
    </x:row>
    <x:row r="16">
      <x:c r="A16" s="120" t="str">
        <x:v>用例总耗时</x:v>
      </x:c>
      <x:c r="B16" s="35" t="str">
        <x:v>测试明细中所有用例耗时求和</x:v>
      </x:c>
      <x:c r="C16" s="35" t="str"/>
      <x:c r="D16" s="35" t="str"/>
      <x:c r="E16" s="35" t="str"/>
      <x:c r="F16" s="35" t="str"/>
      <x:c r="G16" s="35" t="str"/>
      <x:c r="H16" s="35" t="str"/>
    </x:row>
    <x:row r="17">
      <x:c r="A17" s="121" t="str">
        <x:v>说明登记</x:v>
      </x:c>
      <x:c r="B17" s="36" t="str">
        <x:v>新增测试必须登记作用、通过含义和失败含义；缺失数必须为 0</x:v>
      </x:c>
      <x:c r="C17" s="36" t="str"/>
      <x:c r="D17" s="36" t="str"/>
      <x:c r="E17" s="36" t="str"/>
      <x:c r="F17" s="36" t="str"/>
      <x:c r="G17" s="36" t="str"/>
      <x:c r="H17" s="36" t="str"/>
    </x:row>
  </x:sheetData>
  <x:mergeCells>
    <x:mergeCell ref="A1:H1"/>
    <x:mergeCell ref="A2:H2"/>
    <x:mergeCell ref="A4:B4"/>
    <x:mergeCell ref="C4:D4"/>
    <x:mergeCell ref="E4:F4"/>
    <x:mergeCell ref="G4:H4"/>
    <x:mergeCell ref="A5:B6"/>
    <x:mergeCell ref="C5:D6"/>
    <x:mergeCell ref="E5:F6"/>
    <x:mergeCell ref="G5:H6"/>
    <x:mergeCell ref="A8:B8"/>
    <x:mergeCell ref="C8:D8"/>
    <x:mergeCell ref="E8:F8"/>
    <x:mergeCell ref="G8:H8"/>
    <x:mergeCell ref="A9:B10"/>
    <x:mergeCell ref="C9:D10"/>
    <x:mergeCell ref="E9:F10"/>
    <x:mergeCell ref="G9:H10"/>
    <x:mergeCell ref="A12:H12"/>
    <x:mergeCell ref="B13:H13"/>
    <x:mergeCell ref="B14:H14"/>
    <x:mergeCell ref="B15:H15"/>
    <x:mergeCell ref="B16:H16"/>
    <x:mergeCell ref="B17: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25" hidden="0" customWidth="1"/>
    <x:col min="3" max="3" width="48" hidden="0" customWidth="1"/>
    <x:col min="4" max="4" width="24" hidden="0" customWidth="1"/>
    <x:col min="5" max="5" width="10" hidden="0" customWidth="1"/>
    <x:col min="6" max="6" width="13" hidden="0" customWidth="1"/>
    <x:col min="7" max="7" width="56" hidden="0" customWidth="1"/>
    <x:col min="8" max="8" width="32" hidden="0" customWidth="1"/>
  </x:cols>
  <x:sheetData>
    <x:row r="1" ht="30" customHeight="1">
      <x:c r="A1" s="3" t="str">
        <x:v>PaperAgent 本地单元测试明细</x:v>
      </x:c>
      <x:c r="B1" s="3"/>
      <x:c r="C1" s="3"/>
      <x:c r="D1" s="3"/>
      <x:c r="E1" s="3"/>
      <x:c r="F1" s="3"/>
      <x:c r="G1" s="3"/>
      <x:c r="H1" s="3"/>
    </x:row>
    <x:row r="2">
      <x:c r="A2" s="5" t="str">
        <x:v>运行时间：2026-08-13T11:12:50+08:00  |  Git：39a19fca1f844df50e7f0bf2f4be816c7b3c4672</x:v>
      </x:c>
      <x:c r="B2" s="5"/>
      <x:c r="C2" s="5"/>
      <x:c r="D2" s="5"/>
      <x:c r="E2" s="5"/>
      <x:c r="F2" s="5"/>
      <x:c r="G2" s="5"/>
      <x:c r="H2" s="5"/>
    </x:row>
    <x:row r="4">
      <x:c r="A4" s="16" t="str">
        <x:v>序号</x:v>
      </x:c>
      <x:c r="B4" s="17" t="str">
        <x:v>测试文件</x:v>
      </x:c>
      <x:c r="C4" s="17" t="str">
        <x:v>测试用例</x:v>
      </x:c>
      <x:c r="D4" s="17" t="str">
        <x:v>参数场景</x:v>
      </x:c>
      <x:c r="E4" s="17" t="str">
        <x:v>状态</x:v>
      </x:c>
      <x:c r="F4" s="17" t="str">
        <x:v>耗时（秒）</x:v>
      </x:c>
      <x:c r="G4" s="17" t="str">
        <x:v>测试作用</x:v>
      </x:c>
      <x:c r="H4" s="18" t="str">
        <x:v>消息</x:v>
      </x:c>
    </x:row>
    <x:row r="5" ht="118.80000305175781" hidden="0" customHeight="1">
      <x:c r="A5" s="25" t="n">
        <x:v>1</x:v>
      </x:c>
      <x:c r="B5" s="34" t="str">
        <x:v>tests/test_benchmark.py</x:v>
      </x:c>
      <x:c r="C5" s="34" t="str">
        <x:v>test_baseline_and_candidate_cover_the_same_modules</x:v>
      </x:c>
      <x:c r="D5" s="34" t="str">
        <x:v>默认场景</x:v>
      </x:c>
      <x:c r="E5" s="25" t="str">
        <x:v>通过</x:v>
      </x:c>
      <x:c r="F5" s="31" t="n">
        <x:v>0.009</x:v>
      </x:c>
      <x:c r="G5" s="34" t="str">
        <x:v>确认旧基线与当前候选实现使用完全相同的能力模块，保证能力对比口径一致。</x:v>
      </x:c>
      <x:c r="H5" s="34" t="str"/>
    </x:row>
    <x:row r="6" ht="92.4000015258789" hidden="0" customHeight="1">
      <x:c r="A6" s="26" t="n">
        <x:v>2</x:v>
      </x:c>
      <x:c r="B6" s="35" t="str">
        <x:v>tests/test_benchmark.py</x:v>
      </x:c>
      <x:c r="C6" s="35" t="str">
        <x:v>test_candidate_improves_deterministic_router_and_merger_accuracy</x:v>
      </x:c>
      <x:c r="D6" s="35" t="str">
        <x:v>默认场景</x:v>
      </x:c>
      <x:c r="E6" s="26" t="str">
        <x:v>通过</x:v>
      </x:c>
      <x:c r="F6" s="32" t="n">
        <x:v>0.005</x:v>
      </x:c>
      <x:c r="G6" s="35" t="str">
        <x:v>确认当前实现相对旧基线确实提升关键确定性能力的准确率。</x:v>
      </x:c>
      <x:c r="H6" s="35" t="str"/>
    </x:row>
    <x:row r="7" ht="105.5999984741211" hidden="0" customHeight="1">
      <x:c r="A7" s="26" t="n">
        <x:v>3</x:v>
      </x:c>
      <x:c r="B7" s="35" t="str">
        <x:v>tests/test_benchmark.py</x:v>
      </x:c>
      <x:c r="C7" s="35" t="str">
        <x:v>test_query_plan_benchmark_avoids_unnecessary_simple_queries</x:v>
      </x:c>
      <x:c r="D7" s="35" t="str">
        <x:v>默认场景</x:v>
      </x:c>
      <x:c r="E7" s="26" t="str">
        <x:v>通过</x:v>
      </x:c>
      <x:c r="F7" s="32" t="n">
        <x:v>0.004</x:v>
      </x:c>
      <x:c r="G7" s="35" t="str">
        <x:v>验证动态查询规划不会为简单问题创建多余检索词，同时保持规划准确。</x:v>
      </x:c>
      <x:c r="H7" s="35" t="str"/>
    </x:row>
    <x:row r="8" ht="79.19999694824219" hidden="0" customHeight="1">
      <x:c r="A8" s="26" t="n">
        <x:v>4</x:v>
      </x:c>
      <x:c r="B8" s="35" t="str">
        <x:v>tests/test_benchmark.py</x:v>
      </x:c>
      <x:c r="C8" s="35" t="str">
        <x:v>test_comparison_reports_baseline_candidate_and_delta</x:v>
      </x:c>
      <x:c r="D8" s="35" t="str">
        <x:v>默认场景</x:v>
      </x:c>
      <x:c r="E8" s="26" t="str">
        <x:v>通过</x:v>
      </x:c>
      <x:c r="F8" s="32" t="n">
        <x:v>0.006</x:v>
      </x:c>
      <x:c r="G8" s="35" t="str">
        <x:v>验证基准报告能同时给出基线值、候选值和差值。</x:v>
      </x:c>
      <x:c r="H8" s="35" t="str"/>
    </x:row>
    <x:row r="9" ht="105.5999984741211" hidden="0" customHeight="1">
      <x:c r="A9" s="26" t="n">
        <x:v>5</x:v>
      </x:c>
      <x:c r="B9" s="35" t="str">
        <x:v>tests/test_benchmark.py</x:v>
      </x:c>
      <x:c r="C9" s="35" t="str">
        <x:v>test_llm_usage_benchmark_tracks_success_failure_and_tokens</x:v>
      </x:c>
      <x:c r="D9" s="35" t="str">
        <x:v>默认场景</x:v>
      </x:c>
      <x:c r="E9" s="26" t="str">
        <x:v>通过</x:v>
      </x:c>
      <x:c r="F9" s="32" t="n">
        <x:v>0.006</x:v>
      </x:c>
      <x:c r="G9" s="35" t="str">
        <x:v>验证离线基准能准确统计成功/失败调用以及输入、输出和总 Token。</x:v>
      </x:c>
      <x:c r="H9" s="35" t="str"/>
    </x:row>
    <x:row r="10" ht="105.5999984741211" hidden="0" customHeight="1">
      <x:c r="A10" s="26" t="n">
        <x:v>6</x:v>
      </x:c>
      <x:c r="B10" s="35" t="str">
        <x:v>tests/test_benchmark.py</x:v>
      </x:c>
      <x:c r="C10" s="35" t="str">
        <x:v>test_tool_execution_benchmark_measures_contracts_errors_and_recovery</x:v>
      </x:c>
      <x:c r="D10" s="35" t="str">
        <x:v>默认场景</x:v>
      </x:c>
      <x:c r="E10" s="26" t="str">
        <x:v>通过</x:v>
      </x:c>
      <x:c r="F10" s="32" t="n">
        <x:v>0.005</x:v>
      </x:c>
      <x:c r="G10" s="35" t="str">
        <x:v>验证离线基准能够量化统一 Tool 层的协议、错误和恢复能力。</x:v>
      </x:c>
      <x:c r="H10" s="35" t="str"/>
    </x:row>
    <x:row r="11" ht="118.80000305175781" hidden="0" customHeight="1">
      <x:c r="A11" s="26" t="n">
        <x:v>7</x:v>
      </x:c>
      <x:c r="B11" s="35" t="str">
        <x:v>tests/test_benchmark.py</x:v>
      </x:c>
      <x:c r="C11" s="35" t="str">
        <x:v>test_multi_source_benchmark_measures_coverage_deduplication_and_recovery</x:v>
      </x:c>
      <x:c r="D11" s="35" t="str">
        <x:v>默认场景</x:v>
      </x:c>
      <x:c r="E11" s="26" t="str">
        <x:v>通过</x:v>
      </x:c>
      <x:c r="F11" s="32" t="n">
        <x:v>0.006</x:v>
      </x:c>
      <x:c r="G11" s="35" t="str">
        <x:v>验证离线 Benchmark 对比单源基线与多源候选的覆盖、去重和故障恢复。</x:v>
      </x:c>
      <x:c r="H11" s="35" t="str"/>
    </x:row>
    <x:row r="12" ht="92.4000015258789" hidden="0" customHeight="1">
      <x:c r="A12" s="26" t="n">
        <x:v>8</x:v>
      </x:c>
      <x:c r="B12" s="35" t="str">
        <x:v>tests/test_benchmark.py</x:v>
      </x:c>
      <x:c r="C12" s="35" t="str">
        <x:v>test_benchmark_report_can_be_written_as_utf8_json</x:v>
      </x:c>
      <x:c r="D12" s="35" t="str">
        <x:v>默认场景</x:v>
      </x:c>
      <x:c r="E12" s="26" t="str">
        <x:v>通过</x:v>
      </x:c>
      <x:c r="F12" s="32" t="n">
        <x:v>0.185</x:v>
      </x:c>
      <x:c r="G12" s="35" t="str">
        <x:v>验证完整能力基准报告可以用 UTF-8 JSON 保存并重新读取。</x:v>
      </x:c>
      <x:c r="H12" s="35" t="str"/>
    </x:row>
    <x:row r="13" ht="66" hidden="0" customHeight="1">
      <x:c r="A13" s="26" t="n">
        <x:v>9</x:v>
      </x:c>
      <x:c r="B13" s="35" t="str">
        <x:v>tests/test_benchmark.py</x:v>
      </x:c>
      <x:c r="C13" s="35" t="str">
        <x:v>test_unknown_profile_is_rejected</x:v>
      </x:c>
      <x:c r="D13" s="35" t="str">
        <x:v>默认场景</x:v>
      </x:c>
      <x:c r="E13" s="26" t="str">
        <x:v>通过</x:v>
      </x:c>
      <x:c r="F13" s="32" t="n">
        <x:v>0.001</x:v>
      </x:c>
      <x:c r="G13" s="35" t="str">
        <x:v>验证基准工具拒绝不存在的运行配置名称。</x:v>
      </x:c>
      <x:c r="H13" s="35" t="str"/>
    </x:row>
    <x:row r="14" ht="105.5999984741211" hidden="0" customHeight="1">
      <x:c r="A14" s="26" t="n">
        <x:v>10</x:v>
      </x:c>
      <x:c r="B14" s="35" t="str">
        <x:v>tests/test_canonical_metadata_eval.py</x:v>
      </x:c>
      <x:c r="C14" s="35" t="str">
        <x:v>test_collect_claimed_arxiv_ids_uses_secondary_provider_claims</x:v>
      </x:c>
      <x:c r="D14" s="35" t="str">
        <x:v>默认场景</x:v>
      </x:c>
      <x:c r="E14" s="26" t="str">
        <x:v>通过</x:v>
      </x:c>
      <x:c r="F14" s="32" t="n">
        <x:v>0.034</x:v>
      </x:c>
      <x:c r="G14" s="35" t="str">
        <x:v>验证候选评测能从 OpenAlex 等二级来源的 DOI 中提取待验证 arXiv 身份。</x:v>
      </x:c>
      <x:c r="H14" s="35" t="str"/>
    </x:row>
    <x:row r="15" ht="92.4000015258789" hidden="0" customHeight="1">
      <x:c r="A15" s="26" t="n">
        <x:v>11</x:v>
      </x:c>
      <x:c r="B15" s="35" t="str">
        <x:v>tests/test_canonical_metadata_eval.py</x:v>
      </x:c>
      <x:c r="C15" s="35" t="str">
        <x:v>test_collect_claimed_ordinary_dois_excludes_arxiv_doi</x:v>
      </x:c>
      <x:c r="D15" s="35" t="str">
        <x:v>默认场景</x:v>
      </x:c>
      <x:c r="E15" s="26" t="str">
        <x:v>通过</x:v>
      </x:c>
      <x:c r="F15" s="32" t="n">
        <x:v>0.015</x:v>
      </x:c>
      <x:c r="G15" s="35" t="str">
        <x:v>验证联合重放只把普通 DOI 交给 Crossref，排除 arXiv DOI。</x:v>
      </x:c>
      <x:c r="H15" s="35" t="str"/>
    </x:row>
    <x:row r="16" ht="105.5999984741211" hidden="0" customHeight="1">
      <x:c r="A16" s="26" t="n">
        <x:v>12</x:v>
      </x:c>
      <x:c r="B16" s="35" t="str">
        <x:v>tests/test_canonical_metadata_eval.py</x:v>
      </x:c>
      <x:c r="C16" s="35" t="str">
        <x:v>test_canonical_fetcher_caches_successful_lookup</x:v>
      </x:c>
      <x:c r="D16" s="35" t="str">
        <x:v>默认场景</x:v>
      </x:c>
      <x:c r="E16" s="26" t="str">
        <x:v>通过</x:v>
      </x:c>
      <x:c r="F16" s="32" t="n">
        <x:v>0.031</x:v>
      </x:c>
      <x:c r="G16" s="35" t="str">
        <x:v>验证成功取得的规范元数据会缓存，快照重放不会重复消耗网络请求。</x:v>
      </x:c>
      <x:c r="H16" s="35" t="str"/>
    </x:row>
    <x:row r="17" ht="92.4000015258789" hidden="0" customHeight="1">
      <x:c r="A17" s="26" t="n">
        <x:v>13</x:v>
      </x:c>
      <x:c r="B17" s="35" t="str">
        <x:v>tests/test_canonical_metadata_eval.py</x:v>
      </x:c>
      <x:c r="C17" s="35" t="str">
        <x:v>test_canonical_fetcher_does_not_reuse_failed_lookup</x:v>
      </x:c>
      <x:c r="D17" s="35" t="str">
        <x:v>默认场景</x:v>
      </x:c>
      <x:c r="E17" s="26" t="str">
        <x:v>通过</x:v>
      </x:c>
      <x:c r="F17" s="32" t="n">
        <x:v>0.034</x:v>
      </x:c>
      <x:c r="G17" s="35" t="str">
        <x:v>验证 SSL、超时等临时失败不会被当成永久缓存结果。</x:v>
      </x:c>
      <x:c r="H17" s="35" t="str"/>
    </x:row>
    <x:row r="18" ht="79.19999694824219" hidden="0" customHeight="1">
      <x:c r="A18" s="26" t="n">
        <x:v>14</x:v>
      </x:c>
      <x:c r="B18" s="35" t="str">
        <x:v>tests/test_canonical_metadata_eval.py</x:v>
      </x:c>
      <x:c r="C18" s="35" t="str">
        <x:v>test_canonical_doi_fetcher_caches_success_and_not_found</x:v>
      </x:c>
      <x:c r="D18" s="35" t="str">
        <x:v>默认场景</x:v>
      </x:c>
      <x:c r="E18" s="26" t="str">
        <x:v>通过</x:v>
      </x:c>
      <x:c r="F18" s="32" t="n">
        <x:v>0.065</x:v>
      </x:c>
      <x:c r="G18" s="35" t="str">
        <x:v>验证 Crossref 成功记录和明确查无均可重复使用。</x:v>
      </x:c>
      <x:c r="H18" s="35" t="str"/>
    </x:row>
    <x:row r="19" ht="79.19999694824219" hidden="0" customHeight="1">
      <x:c r="A19" s="26" t="n">
        <x:v>15</x:v>
      </x:c>
      <x:c r="B19" s="35" t="str">
        <x:v>tests/test_canonical_metadata_eval.py</x:v>
      </x:c>
      <x:c r="C19" s="35" t="str">
        <x:v>test_canonical_doi_fetcher_does_not_cache_failure</x:v>
      </x:c>
      <x:c r="D19" s="35" t="str">
        <x:v>默认场景</x:v>
      </x:c>
      <x:c r="E19" s="26" t="str">
        <x:v>通过</x:v>
      </x:c>
      <x:c r="F19" s="32" t="n">
        <x:v>0.01</x:v>
      </x:c>
      <x:c r="G19" s="35" t="str">
        <x:v>验证 DOI authority 网络失败不会写入成功缓存。</x:v>
      </x:c>
      <x:c r="H19" s="35" t="str"/>
    </x:row>
    <x:row r="20" ht="105.5999984741211" hidden="0" customHeight="1">
      <x:c r="A20" s="26" t="n">
        <x:v>16</x:v>
      </x:c>
      <x:c r="B20" s="35" t="str">
        <x:v>tests/test_canonical_metadata_eval.py</x:v>
      </x:c>
      <x:c r="C20" s="35" t="str">
        <x:v>test_collect_quarantined_arxiv_ids_limits_authority_experiment</x:v>
      </x:c>
      <x:c r="D20" s="35" t="str">
        <x:v>默认场景</x:v>
      </x:c>
      <x:c r="E20" s="26" t="str">
        <x:v>通过</x:v>
      </x:c>
      <x:c r="F20" s="32" t="n">
        <x:v>0.037</x:v>
      </x:c>
      <x:c r="G20" s="35" t="str">
        <x:v>验证本轮候选实验只查询 v2 实际隔离过的身份，控制外部请求成本。</x:v>
      </x:c>
      <x:c r="H20" s="35" t="str"/>
    </x:row>
    <x:row r="21" ht="145.1999969482422" hidden="0" customHeight="1">
      <x:c r="A21" s="26" t="n">
        <x:v>17</x:v>
      </x:c>
      <x:c r="B21" s="35" t="str">
        <x:v>tests/test_canonical_metadata_eval.py</x:v>
      </x:c>
      <x:c r="C21" s="35" t="str">
        <x:v>test_promotion_requires_three_complete_non_regressing_snapshots</x:v>
      </x:c>
      <x:c r="D21" s="35" t="str">
        <x:v>默认场景</x:v>
      </x:c>
      <x:c r="E21" s="26" t="str">
        <x:v>通过</x:v>
      </x:c>
      <x:c r="F21" s="32" t="n">
        <x:v>0.124</x:v>
      </x:c>
      <x:c r="G21" s="35" t="str">
        <x:v>验证规范元数据候选只有在三份完整独立快照、权威覆盖完整且逐题无回归时才通过晋升门槛。</x:v>
      </x:c>
      <x:c r="H21" s="35" t="str"/>
    </x:row>
    <x:row r="22" ht="118.80000305175781" hidden="0" customHeight="1">
      <x:c r="A22" s="26" t="n">
        <x:v>18</x:v>
      </x:c>
      <x:c r="B22" s="35" t="str">
        <x:v>tests/test_canonical_metadata_eval.py</x:v>
      </x:c>
      <x:c r="C22" s="35" t="str">
        <x:v>test_doi_incremental_comparison_does_not_claim_unchanged_quality</x:v>
      </x:c>
      <x:c r="D22" s="35" t="str">
        <x:v>默认场景</x:v>
      </x:c>
      <x:c r="E22" s="26" t="str">
        <x:v>通过</x:v>
      </x:c>
      <x:c r="F22" s="32" t="n">
        <x:v>0.003</x:v>
      </x:c>
      <x:c r="G22" s="35" t="str">
        <x:v>验证 Crossref 相对仅 arXiv canonical 没有指标变化时不得宣称质量提升。</x:v>
      </x:c>
      <x:c r="H22" s="35" t="str"/>
    </x:row>
    <x:row r="23" ht="105.5999984741211" hidden="0" customHeight="1">
      <x:c r="A23" s="26" t="n">
        <x:v>19</x:v>
      </x:c>
      <x:c r="B23" s="35" t="str">
        <x:v>tests/test_crossref_authority_eval.py</x:v>
      </x:c>
      <x:c r="C23" s="35" t="str">
        <x:v>test_collects_only_ordinary_dois_stable_across_all_snapshots</x:v>
      </x:c>
      <x:c r="D23" s="35" t="str">
        <x:v>默认场景</x:v>
      </x:c>
      <x:c r="E23" s="26" t="str">
        <x:v>通过</x:v>
      </x:c>
      <x:c r="F23" s="32" t="n">
        <x:v>0.034</x:v>
      </x:c>
      <x:c r="G23" s="35" t="str">
        <x:v>验证普通 DOI 候选评测只使用所有独立快照都出现的非 arXiv DOI。</x:v>
      </x:c>
      <x:c r="H23" s="35" t="str"/>
    </x:row>
    <x:row r="24" ht="118.80000305175781" hidden="0" customHeight="1">
      <x:c r="A24" s="26" t="n">
        <x:v>20</x:v>
      </x:c>
      <x:c r="B24" s="35" t="str">
        <x:v>tests/test_crossref_authority_eval.py</x:v>
      </x:c>
      <x:c r="C24" s="35" t="str">
        <x:v>test_crossref_eval_separates_match_conflict_not_found_and_failure</x:v>
      </x:c>
      <x:c r="D24" s="35" t="str">
        <x:v>默认场景</x:v>
      </x:c>
      <x:c r="E24" s="26" t="str">
        <x:v>通过</x:v>
      </x:c>
      <x:c r="F24" s="32" t="n">
        <x:v>0.001</x:v>
      </x:c>
      <x:c r="G24" s="35" t="str">
        <x:v>验证 Crossref 评测严格区分标题匹配、标题冲突、规范查无和网络失败。</x:v>
      </x:c>
      <x:c r="H24" s="35" t="str"/>
    </x:row>
    <x:row r="25" ht="118.80000305175781" hidden="0" customHeight="1">
      <x:c r="A25" s="26" t="n">
        <x:v>21</x:v>
      </x:c>
      <x:c r="B25" s="35" t="str">
        <x:v>tests/test_crossref_authority_eval.py</x:v>
      </x:c>
      <x:c r="C25" s="35" t="str">
        <x:v>test_stratified_sample_round_robins_doi_prefixes</x:v>
      </x:c>
      <x:c r="D25" s="35" t="str">
        <x:v>默认场景</x:v>
      </x:c>
      <x:c r="E25" s="26" t="str">
        <x:v>通过</x:v>
      </x:c>
      <x:c r="F25" s="32" t="n">
        <x:v>0.001</x:v>
      </x:c>
      <x:c r="G25" s="35" t="str">
        <x:v>验证普通 DOI 样本按注册前缀轮转抽取，避免单一高频前缀垄断评测集。</x:v>
      </x:c>
      <x:c r="H25" s="35" t="str"/>
    </x:row>
    <x:row r="26" ht="92.4000015258789" hidden="0" customHeight="1">
      <x:c r="A26" s="26" t="n">
        <x:v>22</x:v>
      </x:c>
      <x:c r="B26" s="35" t="str">
        <x:v>tests/test_crossref_authority_eval.py</x:v>
      </x:c>
      <x:c r="C26" s="35" t="str">
        <x:v>test_provider_comparison_counts_only_two_successful_titles</x:v>
      </x:c>
      <x:c r="D26" s="35" t="str">
        <x:v>默认场景</x:v>
      </x:c>
      <x:c r="E26" s="26" t="str">
        <x:v>通过</x:v>
      </x:c>
      <x:c r="F26" s="32" t="n">
        <x:v>0.001</x:v>
      </x:c>
      <x:c r="G26" s="35" t="str">
        <x:v>验证 provider 一致率只使用双方均成功返回标题的 DOI。</x:v>
      </x:c>
      <x:c r="H26" s="35" t="str"/>
    </x:row>
    <x:row r="27" ht="118.80000305175781" hidden="0" customHeight="1">
      <x:c r="A27" s="26" t="n">
        <x:v>23</x:v>
      </x:c>
      <x:c r="B27" s="35" t="str">
        <x:v>tests/test_doi_contamination_challenge.py</x:v>
      </x:c>
      <x:c r="C27" s="35" t="str">
        <x:v>test_doi_contamination_challenge_meets_stop_condition</x:v>
      </x:c>
      <x:c r="D27" s="35" t="str">
        <x:v>默认场景</x:v>
      </x:c>
      <x:c r="E27" s="26" t="str">
        <x:v>通过</x:v>
      </x:c>
      <x:c r="F27" s="32" t="n">
        <x:v>0.003</x:v>
      </x:c>
      <x:c r="G27" s="35" t="str">
        <x:v>验证 DOI 校验在固定污染、缺失、近似、查无和失败场景中达到阶段止损条件。</x:v>
      </x:c>
      <x:c r="H27" s="35" t="str"/>
    </x:row>
    <x:row r="28" ht="92.4000015258789" hidden="0" customHeight="1">
      <x:c r="A28" s="26" t="n">
        <x:v>24</x:v>
      </x:c>
      <x:c r="B28" s="35" t="str">
        <x:v>tests/test_graph_integration.py</x:v>
      </x:c>
      <x:c r="C28" s="35" t="str">
        <x:v>test_standard_query_runs_the_agentic_rag_path</x:v>
      </x:c>
      <x:c r="D28" s="35" t="str">
        <x:v>默认场景</x:v>
      </x:c>
      <x:c r="E28" s="26" t="str">
        <x:v>通过</x:v>
      </x:c>
      <x:c r="F28" s="32" t="n">
        <x:v>0.094</x:v>
      </x:c>
      <x:c r="G28" s="35" t="str">
        <x:v>验证普通研究问题按完整 Agentic RAG 节点顺序执行。</x:v>
      </x:c>
      <x:c r="H28" s="35" t="str"/>
    </x:row>
    <x:row r="29" ht="92.4000015258789" hidden="0" customHeight="1">
      <x:c r="A29" s="26" t="n">
        <x:v>25</x:v>
      </x:c>
      <x:c r="B29" s="35" t="str">
        <x:v>tests/test_graph_integration.py</x:v>
      </x:c>
      <x:c r="C29" s="35" t="str">
        <x:v>test_pdf_query_skips_query_planning_and_retrieval</x:v>
      </x:c>
      <x:c r="D29" s="35" t="str">
        <x:v>默认场景</x:v>
      </x:c>
      <x:c r="E29" s="26" t="str">
        <x:v>通过</x:v>
      </x:c>
      <x:c r="F29" s="32" t="n">
        <x:v>0.067</x:v>
      </x:c>
      <x:c r="G29" s="35" t="str">
        <x:v>验证已有 PDF 的请求不会重复进行外部查询规划和检索。</x:v>
      </x:c>
      <x:c r="H29" s="35" t="str"/>
    </x:row>
    <x:row r="30" ht="79.19999694824219" hidden="0" customHeight="1">
      <x:c r="A30" s="26" t="n">
        <x:v>26</x:v>
      </x:c>
      <x:c r="B30" s="35" t="str">
        <x:v>tests/test_graph_integration.py</x:v>
      </x:c>
      <x:c r="C30" s="35" t="str">
        <x:v>test_smalltalk_ends_before_all_rag_and_llm_nodes</x:v>
      </x:c>
      <x:c r="D30" s="35" t="str">
        <x:v>默认场景</x:v>
      </x:c>
      <x:c r="E30" s="26" t="str">
        <x:v>通过</x:v>
      </x:c>
      <x:c r="F30" s="32" t="n">
        <x:v>0.066</x:v>
      </x:c>
      <x:c r="G30" s="35" t="str">
        <x:v>验证问候类输入在进入 RAG 与 LLM 节点前本地结束。</x:v>
      </x:c>
      <x:c r="H30" s="35" t="str"/>
    </x:row>
    <x:row r="31" ht="79.19999694824219" hidden="0" customHeight="1">
      <x:c r="A31" s="26" t="n">
        <x:v>27</x:v>
      </x:c>
      <x:c r="B31" s="35" t="str">
        <x:v>tests/test_intent_router.py</x:v>
      </x:c>
      <x:c r="C31" s="35" t="str">
        <x:v>test_classifies_exact_greetings_without_an_llm[hi]</x:v>
      </x:c>
      <x:c r="D31" s="35" t="str">
        <x:v>hi</x:v>
      </x:c>
      <x:c r="E31" s="26" t="str">
        <x:v>通过</x:v>
      </x:c>
      <x:c r="F31" s="32" t="n">
        <x:v>0.003</x:v>
      </x:c>
      <x:c r="G31" s="35" t="str">
        <x:v>验证不同语言和格式的纯问候可由本地规则识别。</x:v>
      </x:c>
      <x:c r="H31" s="35" t="str"/>
    </x:row>
    <x:row r="32" ht="79.19999694824219" hidden="0" customHeight="1">
      <x:c r="A32" s="26" t="n">
        <x:v>28</x:v>
      </x:c>
      <x:c r="B32" s="35" t="str">
        <x:v>tests/test_intent_router.py</x:v>
      </x:c>
      <x:c r="C32" s="35" t="str">
        <x:v>test_classifies_exact_greetings_without_an_llm[Hello!]</x:v>
      </x:c>
      <x:c r="D32" s="35" t="str">
        <x:v>Hello!</x:v>
      </x:c>
      <x:c r="E32" s="26" t="str">
        <x:v>通过</x:v>
      </x:c>
      <x:c r="F32" s="32" t="n">
        <x:v>0.002</x:v>
      </x:c>
      <x:c r="G32" s="35" t="str">
        <x:v>验证不同语言和格式的纯问候可由本地规则识别。</x:v>
      </x:c>
      <x:c r="H32" s="35" t="str"/>
    </x:row>
    <x:row r="33" ht="105.5999984741211" hidden="0" customHeight="1">
      <x:c r="A33" s="26" t="n">
        <x:v>29</x:v>
      </x:c>
      <x:c r="B33" s="35" t="str">
        <x:v>tests/test_intent_router.py</x:v>
      </x:c>
      <x:c r="C33" s="35" t="str">
        <x:v>test_classifies_exact_greetings_without_an_llm[ \u4f60\u597d\u3002 ]</x:v>
      </x:c>
      <x:c r="D33" s="35" t="str">
        <x:v> 你好。 </x:v>
      </x:c>
      <x:c r="E33" s="26" t="str">
        <x:v>通过</x:v>
      </x:c>
      <x:c r="F33" s="32" t="n">
        <x:v>0.002</x:v>
      </x:c>
      <x:c r="G33" s="35" t="str">
        <x:v>验证不同语言和格式的纯问候可由本地规则识别。</x:v>
      </x:c>
      <x:c r="H33" s="35" t="str"/>
    </x:row>
    <x:row r="34" ht="92.4000015258789" hidden="0" customHeight="1">
      <x:c r="A34" s="26" t="n">
        <x:v>30</x:v>
      </x:c>
      <x:c r="B34" s="35" t="str">
        <x:v>tests/test_intent_router.py</x:v>
      </x:c>
      <x:c r="C34" s="35" t="str">
        <x:v>test_classifies_exact_greetings_without_an_llm[\u60a8\u597d]</x:v>
      </x:c>
      <x:c r="D34" s="35" t="str">
        <x:v>您好</x:v>
      </x:c>
      <x:c r="E34" s="26" t="str">
        <x:v>通过</x:v>
      </x:c>
      <x:c r="F34" s="32" t="n">
        <x:v>0.001</x:v>
      </x:c>
      <x:c r="G34" s="35" t="str">
        <x:v>验证不同语言和格式的纯问候可由本地规则识别。</x:v>
      </x:c>
      <x:c r="H34" s="35" t="str"/>
    </x:row>
    <x:row r="35" ht="66" hidden="0" customHeight="1">
      <x:c r="A35" s="26" t="n">
        <x:v>31</x:v>
      </x:c>
      <x:c r="B35" s="35" t="str">
        <x:v>tests/test_intent_router.py</x:v>
      </x:c>
      <x:c r="C35" s="35" t="str">
        <x:v>test_classifies_thanks_without_an_llm[thanks]</x:v>
      </x:c>
      <x:c r="D35" s="35" t="str">
        <x:v>thanks</x:v>
      </x:c>
      <x:c r="E35" s="26" t="str">
        <x:v>通过</x:v>
      </x:c>
      <x:c r="F35" s="32" t="n">
        <x:v>0.001</x:v>
      </x:c>
      <x:c r="G35" s="35" t="str">
        <x:v>验证中英文感谢表达可由本地规则识别。</x:v>
      </x:c>
      <x:c r="H35" s="35" t="str"/>
    </x:row>
    <x:row r="36" ht="79.19999694824219" hidden="0" customHeight="1">
      <x:c r="A36" s="26" t="n">
        <x:v>32</x:v>
      </x:c>
      <x:c r="B36" s="35" t="str">
        <x:v>tests/test_intent_router.py</x:v>
      </x:c>
      <x:c r="C36" s="35" t="str">
        <x:v>test_classifies_thanks_without_an_llm[Thank you!]</x:v>
      </x:c>
      <x:c r="D36" s="35" t="str">
        <x:v>Thank you!</x:v>
      </x:c>
      <x:c r="E36" s="26" t="str">
        <x:v>通过</x:v>
      </x:c>
      <x:c r="F36" s="32" t="n">
        <x:v>0.002</x:v>
      </x:c>
      <x:c r="G36" s="35" t="str">
        <x:v>验证中英文感谢表达可由本地规则识别。</x:v>
      </x:c>
      <x:c r="H36" s="35" t="str"/>
    </x:row>
    <x:row r="37" ht="79.19999694824219" hidden="0" customHeight="1">
      <x:c r="A37" s="26" t="n">
        <x:v>33</x:v>
      </x:c>
      <x:c r="B37" s="35" t="str">
        <x:v>tests/test_intent_router.py</x:v>
      </x:c>
      <x:c r="C37" s="35" t="str">
        <x:v>test_classifies_thanks_without_an_llm[\u8c22\u8c22]</x:v>
      </x:c>
      <x:c r="D37" s="35" t="str">
        <x:v>谢谢</x:v>
      </x:c>
      <x:c r="E37" s="26" t="str">
        <x:v>通过</x:v>
      </x:c>
      <x:c r="F37" s="32" t="n">
        <x:v>0.001</x:v>
      </x:c>
      <x:c r="G37" s="35" t="str">
        <x:v>验证中英文感谢表达可由本地规则识别。</x:v>
      </x:c>
      <x:c r="H37" s="35" t="str"/>
    </x:row>
    <x:row r="38" ht="79.19999694824219" hidden="0" customHeight="1">
      <x:c r="A38" s="26" t="n">
        <x:v>34</x:v>
      </x:c>
      <x:c r="B38" s="35" t="str">
        <x:v>tests/test_intent_router.py</x:v>
      </x:c>
      <x:c r="C38" s="35" t="str">
        <x:v>test_classifies_thanks_without_an_llm[\u611f\u8c22\uff01]</x:v>
      </x:c>
      <x:c r="D38" s="35" t="str">
        <x:v>感谢！</x:v>
      </x:c>
      <x:c r="E38" s="26" t="str">
        <x:v>通过</x:v>
      </x:c>
      <x:c r="F38" s="32" t="n">
        <x:v>0.002</x:v>
      </x:c>
      <x:c r="G38" s="35" t="str">
        <x:v>验证中英文感谢表达可由本地规则识别。</x:v>
      </x:c>
      <x:c r="H38" s="35" t="str"/>
    </x:row>
    <x:row r="39" ht="92.4000015258789" hidden="0" customHeight="1">
      <x:c r="A39" s="26" t="n">
        <x:v>35</x:v>
      </x:c>
      <x:c r="B39" s="35" t="str">
        <x:v>tests/test_intent_router.py</x:v>
      </x:c>
      <x:c r="C39" s="35" t="str">
        <x:v>test_classifies_identity_questions_without_an_llm[who are you?]</x:v>
      </x:c>
      <x:c r="D39" s="35" t="str">
        <x:v>who are you?</x:v>
      </x:c>
      <x:c r="E39" s="26" t="str">
        <x:v>通过</x:v>
      </x:c>
      <x:c r="F39" s="32" t="n">
        <x:v>0.002</x:v>
      </x:c>
      <x:c r="G39" s="35" t="str">
        <x:v>验证“你是谁/能做什么”等身份能力问题可本地识别。</x:v>
      </x:c>
      <x:c r="H39" s="35" t="str"/>
    </x:row>
    <x:row r="40" ht="105.5999984741211" hidden="0" customHeight="1">
      <x:c r="A40" s="26" t="n">
        <x:v>36</x:v>
      </x:c>
      <x:c r="B40" s="35" t="str">
        <x:v>tests/test_intent_router.py</x:v>
      </x:c>
      <x:c r="C40" s="35" t="str">
        <x:v>test_classifies_identity_questions_without_an_llm[\u4f60\u662f\u8c01\uff1f]</x:v>
      </x:c>
      <x:c r="D40" s="35" t="str">
        <x:v>你是谁？</x:v>
      </x:c>
      <x:c r="E40" s="26" t="str">
        <x:v>通过</x:v>
      </x:c>
      <x:c r="F40" s="32" t="n">
        <x:v>0.001</x:v>
      </x:c>
      <x:c r="G40" s="35" t="str">
        <x:v>验证“你是谁/能做什么”等身份能力问题可本地识别。</x:v>
      </x:c>
      <x:c r="H40" s="35" t="str"/>
    </x:row>
    <x:row r="41" ht="118.80000305175781" hidden="0" customHeight="1">
      <x:c r="A41" s="26" t="n">
        <x:v>37</x:v>
      </x:c>
      <x:c r="B41" s="35" t="str">
        <x:v>tests/test_intent_router.py</x:v>
      </x:c>
      <x:c r="C41" s="35" t="str">
        <x:v>test_classifies_identity_questions_without_an_llm[\u4f60\u80fd\u505a\u4ec0\u4e48]</x:v>
      </x:c>
      <x:c r="D41" s="35" t="str">
        <x:v>你能做什么</x:v>
      </x:c>
      <x:c r="E41" s="26" t="str">
        <x:v>通过</x:v>
      </x:c>
      <x:c r="F41" s="32" t="n">
        <x:v>0.001</x:v>
      </x:c>
      <x:c r="G41" s="35" t="str">
        <x:v>验证“你是谁/能做什么”等身份能力问题可本地识别。</x:v>
      </x:c>
      <x:c r="H41" s="35" t="str"/>
    </x:row>
    <x:row r="42" ht="92.4000015258789" hidden="0" customHeight="1">
      <x:c r="A42" s="26" t="n">
        <x:v>38</x:v>
      </x:c>
      <x:c r="B42" s="35" t="str">
        <x:v>tests/test_intent_router.py</x:v>
      </x:c>
      <x:c r="C42" s="35" t="str">
        <x:v>test_does_not_short_circuit_research_or_pdf_requests[state0]</x:v>
      </x:c>
      <x:c r="D42" s="35" t="str">
        <x:v>state0</x:v>
      </x:c>
      <x:c r="E42" s="26" t="str">
        <x:v>通过</x:v>
      </x:c>
      <x:c r="F42" s="32" t="n">
        <x:v>0.002</x:v>
      </x:c>
      <x:c r="G42" s="35" t="str">
        <x:v>防止含问候词的真实研究请求或 PDF 请求被错误当成闲聊短路。</x:v>
      </x:c>
      <x:c r="H42" s="35" t="str"/>
    </x:row>
    <x:row r="43" ht="92.4000015258789" hidden="0" customHeight="1">
      <x:c r="A43" s="26" t="n">
        <x:v>39</x:v>
      </x:c>
      <x:c r="B43" s="35" t="str">
        <x:v>tests/test_intent_router.py</x:v>
      </x:c>
      <x:c r="C43" s="35" t="str">
        <x:v>test_does_not_short_circuit_research_or_pdf_requests[state1]</x:v>
      </x:c>
      <x:c r="D43" s="35" t="str">
        <x:v>state1</x:v>
      </x:c>
      <x:c r="E43" s="26" t="str">
        <x:v>通过</x:v>
      </x:c>
      <x:c r="F43" s="32" t="n">
        <x:v>0.002</x:v>
      </x:c>
      <x:c r="G43" s="35" t="str">
        <x:v>防止含问候词的真实研究请求或 PDF 请求被错误当成闲聊短路。</x:v>
      </x:c>
      <x:c r="H43" s="35" t="str"/>
    </x:row>
    <x:row r="44" ht="92.4000015258789" hidden="0" customHeight="1">
      <x:c r="A44" s="26" t="n">
        <x:v>40</x:v>
      </x:c>
      <x:c r="B44" s="35" t="str">
        <x:v>tests/test_intent_router.py</x:v>
      </x:c>
      <x:c r="C44" s="35" t="str">
        <x:v>test_does_not_short_circuit_research_or_pdf_requests[state2]</x:v>
      </x:c>
      <x:c r="D44" s="35" t="str">
        <x:v>state2</x:v>
      </x:c>
      <x:c r="E44" s="26" t="str">
        <x:v>通过</x:v>
      </x:c>
      <x:c r="F44" s="32" t="n">
        <x:v>0.003</x:v>
      </x:c>
      <x:c r="G44" s="35" t="str">
        <x:v>防止含问候词的真实研究请求或 PDF 请求被错误当成闲聊短路。</x:v>
      </x:c>
      <x:c r="H44" s="35" t="str"/>
    </x:row>
    <x:row r="45" ht="92.4000015258789" hidden="0" customHeight="1">
      <x:c r="A45" s="26" t="n">
        <x:v>41</x:v>
      </x:c>
      <x:c r="B45" s="35" t="str">
        <x:v>tests/test_intent_router.py</x:v>
      </x:c>
      <x:c r="C45" s="35" t="str">
        <x:v>test_normalize_message_only_removes_superficial_variations</x:v>
      </x:c>
      <x:c r="D45" s="35" t="str">
        <x:v>默认场景</x:v>
      </x:c>
      <x:c r="E45" s="26" t="str">
        <x:v>通过</x:v>
      </x:c>
      <x:c r="F45" s="32" t="n">
        <x:v>0.002</x:v>
      </x:c>
      <x:c r="G45" s="35" t="str">
        <x:v>验证意图匹配前只清理空格、大小写和末尾标点等表面差异。</x:v>
      </x:c>
      <x:c r="H45" s="35" t="str"/>
    </x:row>
    <x:row r="46" ht="92.4000015258789" hidden="0" customHeight="1">
      <x:c r="A46" s="26" t="n">
        <x:v>42</x:v>
      </x:c>
      <x:c r="B46" s="35" t="str">
        <x:v>tests/test_intent_router.py</x:v>
      </x:c>
      <x:c r="C46" s="35" t="str">
        <x:v>test_smalltalk_result_is_local_and_preserves_existing_state_metadata</x:v>
      </x:c>
      <x:c r="D46" s="35" t="str">
        <x:v>默认场景</x:v>
      </x:c>
      <x:c r="E46" s="26" t="str">
        <x:v>通过</x:v>
      </x:c>
      <x:c r="F46" s="32" t="n">
        <x:v>0.001</x:v>
      </x:c>
      <x:c r="G46" s="35" t="str">
        <x:v>验证本地闲聊响应不会破坏已有状态和请求元数据。</x:v>
      </x:c>
      <x:c r="H46" s="35" t="str"/>
    </x:row>
    <x:row r="47" ht="105.5999984741211" hidden="0" customHeight="1">
      <x:c r="A47" s="26" t="n">
        <x:v>43</x:v>
      </x:c>
      <x:c r="B47" s="35" t="str">
        <x:v>tests/test_llm_usage.py</x:v>
      </x:c>
      <x:c r="C47" s="35" t="str">
        <x:v>test_extracts_langchain_usage_metadata</x:v>
      </x:c>
      <x:c r="D47" s="35" t="str">
        <x:v>默认场景</x:v>
      </x:c>
      <x:c r="E47" s="26" t="str">
        <x:v>通过</x:v>
      </x:c>
      <x:c r="F47" s="32" t="n">
        <x:v>0.002</x:v>
      </x:c>
      <x:c r="G47" s="35" t="str">
        <x:v>验证能读取 LangChain 标准 usage_metadata Token 字段。</x:v>
      </x:c>
      <x:c r="H47" s="35" t="str"/>
    </x:row>
    <x:row r="48" ht="79.19999694824219" hidden="0" customHeight="1">
      <x:c r="A48" s="26" t="n">
        <x:v>44</x:v>
      </x:c>
      <x:c r="B48" s="35" t="str">
        <x:v>tests/test_llm_usage.py</x:v>
      </x:c>
      <x:c r="C48" s="35" t="str">
        <x:v>test_extracts_openai_compatible_response_metadata</x:v>
      </x:c>
      <x:c r="D48" s="35" t="str">
        <x:v>默认场景</x:v>
      </x:c>
      <x:c r="E48" s="26" t="str">
        <x:v>通过</x:v>
      </x:c>
      <x:c r="F48" s="32" t="n">
        <x:v>0.002</x:v>
      </x:c>
      <x:c r="G48" s="35" t="str">
        <x:v>验证能读取 OpenAI 兼容响应中的 token_usage 字段。</x:v>
      </x:c>
      <x:c r="H48" s="35" t="str"/>
    </x:row>
    <x:row r="49" ht="105.5999984741211" hidden="0" customHeight="1">
      <x:c r="A49" s="26" t="n">
        <x:v>45</x:v>
      </x:c>
      <x:c r="B49" s="35" t="str">
        <x:v>tests/test_llm_usage.py</x:v>
      </x:c>
      <x:c r="C49" s="35" t="str">
        <x:v>test_missing_usage_is_explicit_instead_of_estimated</x:v>
      </x:c>
      <x:c r="D49" s="35" t="str">
        <x:v>默认场景</x:v>
      </x:c>
      <x:c r="E49" s="26" t="str">
        <x:v>通过</x:v>
      </x:c>
      <x:c r="F49" s="32" t="n">
        <x:v>0.002</x:v>
      </x:c>
      <x:c r="G49" s="35" t="str">
        <x:v>验证模型未返回 Token 数据时系统明确标记缺失而不伪造估算值。</x:v>
      </x:c>
      <x:c r="H49" s="35" t="str"/>
    </x:row>
    <x:row r="50" ht="105.5999984741211" hidden="0" customHeight="1">
      <x:c r="A50" s="26" t="n">
        <x:v>46</x:v>
      </x:c>
      <x:c r="B50" s="35" t="str">
        <x:v>tests/test_llm_usage.py</x:v>
      </x:c>
      <x:c r="C50" s="35" t="str">
        <x:v>test_successful_invocation_records_model_node_tokens_and_latency</x:v>
      </x:c>
      <x:c r="D50" s="35" t="str">
        <x:v>默认场景</x:v>
      </x:c>
      <x:c r="E50" s="26" t="str">
        <x:v>通过</x:v>
      </x:c>
      <x:c r="F50" s="32" t="n">
        <x:v>0.002</x:v>
      </x:c>
      <x:c r="G50" s="35" t="str">
        <x:v>验证成功 LLM 调用会记录节点、模型、Token、成功状态和延迟。</x:v>
      </x:c>
      <x:c r="H50" s="35" t="str"/>
    </x:row>
    <x:row r="51" ht="79.19999694824219" hidden="0" customHeight="1">
      <x:c r="A51" s="26" t="n">
        <x:v>47</x:v>
      </x:c>
      <x:c r="B51" s="35" t="str">
        <x:v>tests/test_llm_usage.py</x:v>
      </x:c>
      <x:c r="C51" s="35" t="str">
        <x:v>test_failed_invocation_preserves_call_and_latency_record</x:v>
      </x:c>
      <x:c r="D51" s="35" t="str">
        <x:v>默认场景</x:v>
      </x:c>
      <x:c r="E51" s="26" t="str">
        <x:v>通过</x:v>
      </x:c>
      <x:c r="F51" s="32" t="n">
        <x:v>0.001</x:v>
      </x:c>
      <x:c r="G51" s="35" t="str">
        <x:v>验证 LLM 调用失败时仍保留失败类型和耗时记录。</x:v>
      </x:c>
      <x:c r="H51" s="35" t="str"/>
    </x:row>
    <x:row r="52" ht="105.5999984741211" hidden="0" customHeight="1">
      <x:c r="A52" s="26" t="n">
        <x:v>48</x:v>
      </x:c>
      <x:c r="B52" s="35" t="str">
        <x:v>tests/test_llm_usage.py</x:v>
      </x:c>
      <x:c r="C52" s="35" t="str">
        <x:v>test_multiple_node_records_are_aggregated_without_double_counting</x:v>
      </x:c>
      <x:c r="D52" s="35" t="str">
        <x:v>默认场景</x:v>
      </x:c>
      <x:c r="E52" s="26" t="str">
        <x:v>通过</x:v>
      </x:c>
      <x:c r="F52" s="32" t="n">
        <x:v>0.003</x:v>
      </x:c>
      <x:c r="G52" s="35" t="str">
        <x:v>验证多个节点的 LLM 用量可以累加且不会重复计数。</x:v>
      </x:c>
      <x:c r="H52" s="35" t="str"/>
    </x:row>
    <x:row r="53" ht="105.5999984741211" hidden="0" customHeight="1">
      <x:c r="A53" s="26" t="n">
        <x:v>49</x:v>
      </x:c>
      <x:c r="B53" s="35" t="str">
        <x:v>tests/test_llm_usage.py</x:v>
      </x:c>
      <x:c r="C53" s="35" t="str">
        <x:v>test_metrics_groups_usage_by_node_and_reports_totals</x:v>
      </x:c>
      <x:c r="D53" s="35" t="str">
        <x:v>默认场景</x:v>
      </x:c>
      <x:c r="E53" s="26" t="str">
        <x:v>通过</x:v>
      </x:c>
      <x:c r="F53" s="32" t="n">
        <x:v>0.005</x:v>
      </x:c>
      <x:c r="G53" s="35" t="str">
        <x:v>验证指标节点既能按节点分组，又能提供全流程总量与缺失用量统计。</x:v>
      </x:c>
      <x:c r="H53" s="35" t="str"/>
    </x:row>
    <x:row r="54" ht="79.19999694824219" hidden="0" customHeight="1">
      <x:c r="A54" s="26" t="n">
        <x:v>50</x:v>
      </x:c>
      <x:c r="B54" s="35" t="str">
        <x:v>tests/test_llm_usage_nodes.py</x:v>
      </x:c>
      <x:c r="C54" s="35" t="str">
        <x:v>test_reason_node_records_llm_usage</x:v>
      </x:c>
      <x:c r="D54" s="35" t="str">
        <x:v>默认场景</x:v>
      </x:c>
      <x:c r="E54" s="26" t="str">
        <x:v>通过</x:v>
      </x:c>
      <x:c r="F54" s="32" t="n">
        <x:v>0.003</x:v>
      </x:c>
      <x:c r="G54" s="35" t="str">
        <x:v>验证推理节点启用 LLM 时会写入统一用量记录。</x:v>
      </x:c>
      <x:c r="H54" s="35" t="str"/>
    </x:row>
    <x:row r="55" ht="92.4000015258789" hidden="0" customHeight="1">
      <x:c r="A55" s="26" t="n">
        <x:v>51</x:v>
      </x:c>
      <x:c r="B55" s="35" t="str">
        <x:v>tests/test_llm_usage_nodes.py</x:v>
      </x:c>
      <x:c r="C55" s="35" t="str">
        <x:v>test_evaluate_node_records_usage_only_when_llm_is_enabled</x:v>
      </x:c>
      <x:c r="D55" s="35" t="str">
        <x:v>默认场景</x:v>
      </x:c>
      <x:c r="E55" s="26" t="str">
        <x:v>通过</x:v>
      </x:c>
      <x:c r="F55" s="32" t="n">
        <x:v>0.003</x:v>
      </x:c>
      <x:c r="G55" s="35" t="str">
        <x:v>验证检索评估节点启用 LLM 时记录评分与用量。</x:v>
      </x:c>
      <x:c r="H55" s="35" t="str"/>
    </x:row>
    <x:row r="56" ht="79.19999694824219" hidden="0" customHeight="1">
      <x:c r="A56" s="26" t="n">
        <x:v>52</x:v>
      </x:c>
      <x:c r="B56" s="35" t="str">
        <x:v>tests/test_llm_usage_nodes.py</x:v>
      </x:c>
      <x:c r="C56" s="35" t="str">
        <x:v>test_generate_node_records_usage</x:v>
      </x:c>
      <x:c r="D56" s="35" t="str">
        <x:v>默认场景</x:v>
      </x:c>
      <x:c r="E56" s="26" t="str">
        <x:v>通过</x:v>
      </x:c>
      <x:c r="F56" s="32" t="n">
        <x:v>0.001</x:v>
      </x:c>
      <x:c r="G56" s="35" t="str">
        <x:v>验证答案生成节点记录实际生成结果和模型用量。</x:v>
      </x:c>
      <x:c r="H56" s="35" t="str"/>
    </x:row>
    <x:row r="57" ht="105.5999984741211" hidden="0" customHeight="1">
      <x:c r="A57" s="26" t="n">
        <x:v>53</x:v>
      </x:c>
      <x:c r="B57" s="35" t="str">
        <x:v>tests/test_llm_usage_nodes.py</x:v>
      </x:c>
      <x:c r="C57" s="35" t="str">
        <x:v>test_rule_based_evaluate_does_not_create_an_llm_call</x:v>
      </x:c>
      <x:c r="D57" s="35" t="str">
        <x:v>默认场景</x:v>
      </x:c>
      <x:c r="E57" s="26" t="str">
        <x:v>通过</x:v>
      </x:c>
      <x:c r="F57" s="32" t="n">
        <x:v>0.002</x:v>
      </x:c>
      <x:c r="G57" s="35" t="str">
        <x:v>验证关闭 LLM 评估时只使用规则评分且不创建虚假调用记录。</x:v>
      </x:c>
      <x:c r="H57" s="35" t="str"/>
    </x:row>
    <x:row r="58" ht="105.5999984741211" hidden="0" customHeight="1">
      <x:c r="A58" s="26" t="n">
        <x:v>54</x:v>
      </x:c>
      <x:c r="B58" s="35" t="str">
        <x:v>tests/test_local_rag_bm25.py</x:v>
      </x:c>
      <x:c r="C58" s="35" t="str">
        <x:v>test_mixed_tokenizer_supports_chinese_and_english_queries</x:v>
      </x:c>
      <x:c r="D58" s="35" t="str">
        <x:v>默认场景</x:v>
      </x:c>
      <x:c r="E58" s="26" t="str">
        <x:v>通过</x:v>
      </x:c>
      <x:c r="F58" s="32" t="n">
        <x:v>0.002</x:v>
      </x:c>
      <x:c r="G58" s="35" t="str">
        <x:v>验证 BM25 基线能把中文问题与英文术语、数字混合分词。</x:v>
      </x:c>
      <x:c r="H58" s="35" t="str"/>
    </x:row>
    <x:row r="59" ht="132" hidden="0" customHeight="1">
      <x:c r="A59" s="26" t="n">
        <x:v>55</x:v>
      </x:c>
      <x:c r="B59" s="35" t="str">
        <x:v>tests/test_local_rag_bm25.py</x:v>
      </x:c>
      <x:c r="C59" s="35" t="str">
        <x:v>test_bm25_ranks_matching_chunk_first_and_is_deterministic</x:v>
      </x:c>
      <x:c r="D59" s="35" t="str">
        <x:v>默认场景</x:v>
      </x:c>
      <x:c r="E59" s="26" t="str">
        <x:v>通过</x:v>
      </x:c>
      <x:c r="F59" s="32" t="n">
        <x:v>0.002</x:v>
      </x:c>
      <x:c r="G59" s="35" t="str">
        <x:v>验证 BM25 将包含查询词的文本块排在无关块之前，且重复运行排名与分数一致。</x:v>
      </x:c>
      <x:c r="H59" s="35" t="str"/>
    </x:row>
    <x:row r="60" ht="79.19999694824219" hidden="0" customHeight="1">
      <x:c r="A60" s="26" t="n">
        <x:v>56</x:v>
      </x:c>
      <x:c r="B60" s="35" t="str">
        <x:v>tests/test_local_rag_bm25.py</x:v>
      </x:c>
      <x:c r="C60" s="35" t="str">
        <x:v>test_bm25_rejects_invalid_configuration_and_limit</x:v>
      </x:c>
      <x:c r="D60" s="35" t="str">
        <x:v>默认场景</x:v>
      </x:c>
      <x:c r="E60" s="26" t="str">
        <x:v>通过</x:v>
      </x:c>
      <x:c r="F60" s="32" t="n">
        <x:v>0.001</x:v>
      </x:c>
      <x:c r="G60" s="35" t="str">
        <x:v>验证 BM25 拒绝空语料和非正数返回条数。</x:v>
      </x:c>
      <x:c r="H60" s="35" t="str"/>
    </x:row>
    <x:row r="61" ht="105.5999984741211" hidden="0" customHeight="1">
      <x:c r="A61" s="26" t="n">
        <x:v>57</x:v>
      </x:c>
      <x:c r="B61" s="35" t="str">
        <x:v>tests/test_local_rag_bm25.py</x:v>
      </x:c>
      <x:c r="C61" s="35" t="str">
        <x:v>test_local_rag_metrics_use_exact_gold_chunk_rank</x:v>
      </x:c>
      <x:c r="D61" s="35" t="str">
        <x:v>默认场景</x:v>
      </x:c>
      <x:c r="E61" s="26" t="str">
        <x:v>通过</x:v>
      </x:c>
      <x:c r="F61" s="32" t="n">
        <x:v>0.001</x:v>
      </x:c>
      <x:c r="G61" s="35" t="str">
        <x:v>用手工可计算的排名验证本地 RAG Recall、MRR 与 nDCG 公式。</x:v>
      </x:c>
      <x:c r="H61" s="35" t="str"/>
    </x:row>
    <x:row r="62" ht="118.80000305175781" hidden="0" customHeight="1">
      <x:c r="A62" s="26" t="n">
        <x:v>58</x:v>
      </x:c>
      <x:c r="B62" s="35" t="str">
        <x:v>tests/test_local_rag_bm25.py</x:v>
      </x:c>
      <x:c r="C62" s="35" t="str">
        <x:v>test_local_rag_metrics_do_not_double_count_duplicate_page_hits</x:v>
      </x:c>
      <x:c r="D62" s="35" t="str">
        <x:v>默认场景</x:v>
      </x:c>
      <x:c r="E62" s="26" t="str">
        <x:v>通过</x:v>
      </x:c>
      <x:c r="F62" s="32" t="n">
        <x:v>0.001</x:v>
      </x:c>
      <x:c r="G62" s="35" t="str">
        <x:v>验证同一相关 PDF 页返回多个 Chunk 时，page-level 指标只计算首次命中。</x:v>
      </x:c>
      <x:c r="H62" s="35" t="str"/>
    </x:row>
    <x:row r="63" ht="118.80000305175781" hidden="0" customHeight="1">
      <x:c r="A63" s="26" t="n">
        <x:v>59</x:v>
      </x:c>
      <x:c r="B63" s="35" t="str">
        <x:v>tests/test_local_rag_corpus_manifest.py</x:v>
      </x:c>
      <x:c r="C63" s="35" t="str">
        <x:v>test_build_corpus_manifest_preserves_declared_identity_and_hash</x:v>
      </x:c>
      <x:c r="D63" s="35" t="str">
        <x:v>默认场景</x:v>
      </x:c>
      <x:c r="E63" s="26" t="str">
        <x:v>通过</x:v>
      </x:c>
      <x:c r="F63" s="32" t="n">
        <x:v>0.099</x:v>
      </x:c>
      <x:c r="G63" s="35" t="str">
        <x:v>验证代表论文来源清单生成 Manifest 时保留语料版本、论文身份和内容哈希。</x:v>
      </x:c>
      <x:c r="H63" s="35" t="str"/>
    </x:row>
    <x:row r="64" ht="118.80000305175781" hidden="0" customHeight="1">
      <x:c r="A64" s="26" t="n">
        <x:v>60</x:v>
      </x:c>
      <x:c r="B64" s="35" t="str">
        <x:v>tests/test_local_rag_corpus_manifest.py</x:v>
      </x:c>
      <x:c r="C64" s="35" t="str">
        <x:v>test_build_corpus_manifest_rejects_missing_declared_pdf</x:v>
      </x:c>
      <x:c r="D64" s="35" t="str">
        <x:v>默认场景</x:v>
      </x:c>
      <x:c r="E64" s="26" t="str">
        <x:v>通过</x:v>
      </x:c>
      <x:c r="F64" s="32" t="n">
        <x:v>0.043</x:v>
      </x:c>
      <x:c r="G64" s="35" t="str">
        <x:v>验证来源清单声明的 PDF 缺失时立即失败，而不是静默生成不完整语料。</x:v>
      </x:c>
      <x:c r="H64" s="35" t="str"/>
    </x:row>
    <x:row r="65" ht="118.80000305175781" hidden="0" customHeight="1">
      <x:c r="A65" s="26" t="n">
        <x:v>61</x:v>
      </x:c>
      <x:c r="B65" s="35" t="str">
        <x:v>tests/test_local_rag_dense.py</x:v>
      </x:c>
      <x:c r="C65" s="35" t="str">
        <x:v>test_dense_retriever_normalizes_vectors_and_ranks_by_cosine</x:v>
      </x:c>
      <x:c r="D65" s="35" t="str">
        <x:v>默认场景</x:v>
      </x:c>
      <x:c r="E65" s="26" t="str">
        <x:v>通过</x:v>
      </x:c>
      <x:c r="F65" s="32" t="n">
        <x:v>0.004</x:v>
      </x:c>
      <x:c r="G65" s="35" t="str">
        <x:v>验证 Dense 检索显式归一化向量，并按余弦相似度将语义匹配块排在前面。</x:v>
      </x:c>
      <x:c r="H65" s="35" t="str"/>
    </x:row>
    <x:row r="66" ht="92.4000015258789" hidden="0" customHeight="1">
      <x:c r="A66" s="26" t="n">
        <x:v>62</x:v>
      </x:c>
      <x:c r="B66" s="35" t="str">
        <x:v>tests/test_local_rag_dense.py</x:v>
      </x:c>
      <x:c r="C66" s="35" t="str">
        <x:v>test_dense_retriever_rejects_zero_vectors_and_invalid_inputs</x:v>
      </x:c>
      <x:c r="D66" s="35" t="str">
        <x:v>默认场景</x:v>
      </x:c>
      <x:c r="E66" s="26" t="str">
        <x:v>通过</x:v>
      </x:c>
      <x:c r="F66" s="32" t="n">
        <x:v>0.001</x:v>
      </x:c>
      <x:c r="G66" s="35" t="str">
        <x:v>验证 Dense 检索拒绝零向量和空语料。</x:v>
      </x:c>
      <x:c r="H66" s="35" t="str"/>
    </x:row>
    <x:row r="67" ht="145.1999969482422" hidden="0" customHeight="1">
      <x:c r="A67" s="26" t="n">
        <x:v>63</x:v>
      </x:c>
      <x:c r="B67" s="35" t="str">
        <x:v>tests/test_local_rag_dense.py</x:v>
      </x:c>
      <x:c r="C67" s="35" t="str">
        <x:v>test_dense_index_cache_round_trips_vectors_and_invalidates_changed_corpus</x:v>
      </x:c>
      <x:c r="D67" s="35" t="str">
        <x:v>默认场景</x:v>
      </x:c>
      <x:c r="E67" s="26" t="str">
        <x:v>通过</x:v>
      </x:c>
      <x:c r="F67" s="32" t="n">
        <x:v>0.048</x:v>
      </x:c>
      <x:c r="G67" s="35" t="str">
        <x:v>验证 Dense 向量缓存可以无损加载，并在语料文本、模型或处理版本变化后使用不同指纹。</x:v>
      </x:c>
      <x:c r="H67" s="35" t="str"/>
    </x:row>
    <x:row r="68" ht="118.80000305175781" hidden="0" customHeight="1">
      <x:c r="A68" s="26" t="n">
        <x:v>64</x:v>
      </x:c>
      <x:c r="B68" s="35" t="str">
        <x:v>tests/test_local_rag_dense.py</x:v>
      </x:c>
      <x:c r="C68" s="35" t="str">
        <x:v>test_dense_retriever_reuses_cached_vectors_without_document_embedding</x:v>
      </x:c>
      <x:c r="D68" s="35" t="str">
        <x:v>默认场景</x:v>
      </x:c>
      <x:c r="E68" s="26" t="str">
        <x:v>通过</x:v>
      </x:c>
      <x:c r="F68" s="32" t="n">
        <x:v>0.002</x:v>
      </x:c>
      <x:c r="G68" s="35" t="str">
        <x:v>验证缓存命中时 DenseRetriever 不会重新编码全部论文，只对查询生成向量。</x:v>
      </x:c>
      <x:c r="H68" s="35" t="str"/>
    </x:row>
    <x:row r="69" ht="171.60000610351562" hidden="0" customHeight="1">
      <x:c r="A69" s="26" t="n">
        <x:v>65</x:v>
      </x:c>
      <x:c r="B69" s="35" t="str">
        <x:v>tests/test_local_rag_dense_cache_compare.py</x:v>
      </x:c>
      <x:c r="C69" s="35" t="str">
        <x:v>test_dense_cache_comparison_requires_same_quality_and_faster_warm_build</x:v>
      </x:c>
      <x:c r="D69" s="35" t="str">
        <x:v>默认场景</x:v>
      </x:c>
      <x:c r="E69" s="26" t="str">
        <x:v>通过</x:v>
      </x:c>
      <x:c r="F69" s="32" t="n">
        <x:v>0.071</x:v>
      </x:c>
      <x:c r="G69" s="35" t="str">
        <x:v>验证 Dense 缓存只有在冷启动未命中、热启动命中、质量完全一致且建库耗时下降超过 99% 时才通过。</x:v>
      </x:c>
      <x:c r="H69" s="35" t="str"/>
    </x:row>
    <x:row r="70" ht="118.80000305175781" hidden="0" customHeight="1">
      <x:c r="A70" s="26" t="n">
        <x:v>66</x:v>
      </x:c>
      <x:c r="B70" s="35" t="str">
        <x:v>tests/test_local_rag_dense_compare.py</x:v>
      </x:c>
      <x:c r="C70" s="35" t="str">
        <x:v>test_dense_comparison_uses_holdout_quality_and_keeps_production_off</x:v>
      </x:c>
      <x:c r="D70" s="35" t="str">
        <x:v>默认场景</x:v>
      </x:c>
      <x:c r="E70" s="26" t="str">
        <x:v>通过</x:v>
      </x:c>
      <x:c r="F70" s="32" t="n">
        <x:v>32.041</x:v>
      </x:c>
      <x:c r="G70" s="35" t="str">
        <x:v>验证 Dense 晋升判断以独立保留集质量为依据，并与生产默认开关分离。</x:v>
      </x:c>
      <x:c r="H70" s="35" t="str"/>
    </x:row>
    <x:row r="71" ht="171.60000610351562" hidden="0" customHeight="1">
      <x:c r="A71" s="26" t="n">
        <x:v>67</x:v>
      </x:c>
      <x:c r="B71" s="35" t="str">
        <x:v>tests/test_local_rag_dense_model_compare.py</x:v>
      </x:c>
      <x:c r="C71" s="35" t="str">
        <x:v>test_dense_model_comparison_prefers_quality_gain_without_excess_regression</x:v>
      </x:c>
      <x:c r="D71" s="35" t="str">
        <x:v>默认场景</x:v>
      </x:c>
      <x:c r="E71" s="26" t="str">
        <x:v>通过</x:v>
      </x:c>
      <x:c r="F71" s="32" t="n">
        <x:v>0.039</x:v>
      </x:c>
      <x:c r="G71" s="35" t="str">
        <x:v>验证第二 Dense 模型只有在保留集 nDCG 提升、Recall 不下降且逐题回归不超过 2 个时才成为首选候选。</x:v>
      </x:c>
      <x:c r="H71" s="35" t="str"/>
    </x:row>
    <x:row r="72" ht="158.39999389648438" hidden="0" customHeight="1">
      <x:c r="A72" s="26" t="n">
        <x:v>68</x:v>
      </x:c>
      <x:c r="B72" s="35" t="str">
        <x:v>tests/test_local_rag_dense_models.py</x:v>
      </x:c>
      <x:c r="C72" s="35" t="str">
        <x:v>test_dense_model_matrix_changes_only_declared_embedding_properties</x:v>
      </x:c>
      <x:c r="D72" s="35" t="str">
        <x:v>默认场景</x:v>
      </x:c>
      <x:c r="E72" s="26" t="str">
        <x:v>通过</x:v>
      </x:c>
      <x:c r="F72" s="32" t="n">
        <x:v>0.908</x:v>
      </x:c>
      <x:c r="G72" s="35" t="str">
        <x:v>验证第二 Dense 模型通过同一评测入口配置，只声明模型自身的维度、输入长度、池化和配置身份差异。</x:v>
      </x:c>
      <x:c r="H72" s="35" t="str"/>
    </x:row>
    <x:row r="73" ht="198" hidden="0" customHeight="1">
      <x:c r="A73" s="26" t="n">
        <x:v>69</x:v>
      </x:c>
      <x:c r="B73" s="35" t="str">
        <x:v>tests/test_local_rag_dense_stability.py</x:v>
      </x:c>
      <x:c r="C73" s="35" t="str">
        <x:v>test_dense_stability_requires_three_deterministic_warm_processes</x:v>
      </x:c>
      <x:c r="D73" s="35" t="str">
        <x:v>默认场景</x:v>
      </x:c>
      <x:c r="E73" s="26" t="str">
        <x:v>通过</x:v>
      </x:c>
      <x:c r="F73" s="32" t="n">
        <x:v>0.048</x:v>
      </x:c>
      <x:c r="G73" s="35" t="str">
        <x:v>验证 Dense 稳定性晋升至少需要三个独立热启动进程，并同时满足缓存命中、质量一致、Top-5 与分数确定性和延迟波动门槛。</x:v>
      </x:c>
      <x:c r="H73" s="35" t="str"/>
    </x:row>
    <x:row r="74" ht="145.1999969482422" hidden="0" customHeight="1">
      <x:c r="A74" s="26" t="n">
        <x:v>70</x:v>
      </x:c>
      <x:c r="B74" s="35" t="str">
        <x:v>tests/test_local_rag_dense_stability.py</x:v>
      </x:c>
      <x:c r="C74" s="35" t="str">
        <x:v>test_dense_stability_rejects_mixed_or_unexpected_models</x:v>
      </x:c>
      <x:c r="D74" s="35" t="str">
        <x:v>默认场景</x:v>
      </x:c>
      <x:c r="E74" s="26" t="str">
        <x:v>通过</x:v>
      </x:c>
      <x:c r="F74" s="32" t="n">
        <x:v>0.026</x:v>
      </x:c>
      <x:c r="G74" s="35" t="str">
        <x:v>验证稳定性评测拒绝混入其他 Embedding 模型或不符合预期模型身份的运行文件。</x:v>
      </x:c>
      <x:c r="H74" s="35" t="str"/>
    </x:row>
    <x:row r="75" ht="171.60000610351562" hidden="0" customHeight="1">
      <x:c r="A75" s="26" t="n">
        <x:v>71</x:v>
      </x:c>
      <x:c r="B75" s="35" t="str">
        <x:v>tests/test_local_rag_dense_stability_compare.py</x:v>
      </x:c>
      <x:c r="C75" s="35" t="str">
        <x:v>test_stability_comparison_preserves_failed_candidate_decision</x:v>
      </x:c>
      <x:c r="D75" s="35" t="str">
        <x:v>默认场景</x:v>
      </x:c>
      <x:c r="E75" s="26" t="str">
        <x:v>通过</x:v>
      </x:c>
      <x:c r="F75" s="32" t="n">
        <x:v>0.015</x:v>
      </x:c>
      <x:c r="G75" s="35" t="str">
        <x:v>验证 MiniLM/MPNet 稳定性并列比较保留 MPNet 的失败判定，不因平均质量收益或模型间比值覆盖原始闸门。</x:v>
      </x:c>
      <x:c r="H75" s="35" t="str"/>
    </x:row>
    <x:row r="76" ht="92.4000015258789" hidden="0" customHeight="1">
      <x:c r="A76" s="26" t="n">
        <x:v>72</x:v>
      </x:c>
      <x:c r="B76" s="35" t="str">
        <x:v>tests/test_local_rag_foundation.py</x:v>
      </x:c>
      <x:c r="C76" s="35" t="str">
        <x:v>test_fixed_window_chunker_preserves_page_and_overlap</x:v>
      </x:c>
      <x:c r="D76" s="35" t="str">
        <x:v>默认场景</x:v>
      </x:c>
      <x:c r="E76" s="26" t="str">
        <x:v>通过</x:v>
      </x:c>
      <x:c r="F76" s="32" t="n">
        <x:v>0.001</x:v>
      </x:c>
      <x:c r="G76" s="35" t="str">
        <x:v>验证固定窗口分块保留页码、字符位置和配置的重叠区间。</x:v>
      </x:c>
      <x:c r="H76" s="35" t="str"/>
    </x:row>
    <x:row r="77" ht="79.19999694824219" hidden="0" customHeight="1">
      <x:c r="A77" s="26" t="n">
        <x:v>73</x:v>
      </x:c>
      <x:c r="B77" s="35" t="str">
        <x:v>tests/test_local_rag_foundation.py</x:v>
      </x:c>
      <x:c r="C77" s="35" t="str">
        <x:v>test_fixed_window_chunker_rejects_invalid_parameters</x:v>
      </x:c>
      <x:c r="D77" s="35" t="str">
        <x:v>默认场景</x:v>
      </x:c>
      <x:c r="E77" s="26" t="str">
        <x:v>通过</x:v>
      </x:c>
      <x:c r="F77" s="32" t="n">
        <x:v>0.001</x:v>
      </x:c>
      <x:c r="G77" s="35" t="str">
        <x:v>验证重叠长度不能等于或超过分块长度。</x:v>
      </x:c>
      <x:c r="H77" s="35" t="str"/>
    </x:row>
    <x:row r="78" ht="118.80000305175781" hidden="0" customHeight="1">
      <x:c r="A78" s="26" t="n">
        <x:v>74</x:v>
      </x:c>
      <x:c r="B78" s="35" t="str">
        <x:v>tests/test_local_rag_foundation.py</x:v>
      </x:c>
      <x:c r="C78" s="35" t="str">
        <x:v>test_manifest_rebuilds_only_for_content_or_processing_version_change</x:v>
      </x:c>
      <x:c r="D78" s="35" t="str">
        <x:v>默认场景</x:v>
      </x:c>
      <x:c r="E78" s="26" t="str">
        <x:v>通过</x:v>
      </x:c>
      <x:c r="F78" s="32" t="n">
        <x:v>0.05</x:v>
      </x:c>
      <x:c r="G78" s="35" t="str">
        <x:v>验证知识库只在 PDF 内容、Parser 或 Chunker 版本变化时局部重建。</x:v>
      </x:c>
      <x:c r="H78" s="35" t="str"/>
    </x:row>
    <x:row r="79" ht="92.4000015258789" hidden="0" customHeight="1">
      <x:c r="A79" s="26" t="n">
        <x:v>75</x:v>
      </x:c>
      <x:c r="B79" s="35" t="str">
        <x:v>tests/test_local_rag_foundation.py</x:v>
      </x:c>
      <x:c r="C79" s="35" t="str">
        <x:v>test_manifest_writer_keeps_corpus_version_and_status</x:v>
      </x:c>
      <x:c r="D79" s="35" t="str">
        <x:v>默认场景</x:v>
      </x:c>
      <x:c r="E79" s="26" t="str">
        <x:v>通过</x:v>
      </x:c>
      <x:c r="F79" s="32" t="n">
        <x:v>0.034</x:v>
      </x:c>
      <x:c r="G79" s="35" t="str">
        <x:v>验证语料清单记录 corpus_version 和每篇论文的处理状态。</x:v>
      </x:c>
      <x:c r="H79" s="35" t="str"/>
    </x:row>
    <x:row r="80" ht="118.80000305175781" hidden="0" customHeight="1">
      <x:c r="A80" s="26" t="n">
        <x:v>76</x:v>
      </x:c>
      <x:c r="B80" s="35" t="str">
        <x:v>tests/test_local_rag_query_rewrite.py</x:v>
      </x:c>
      <x:c r="C80" s="35" t="str">
        <x:v>test_query_expansion_preserves_original_and_adds_auditable_terms</x:v>
      </x:c>
      <x:c r="D80" s="35" t="str">
        <x:v>默认场景</x:v>
      </x:c>
      <x:c r="E80" s="26" t="str">
        <x:v>通过</x:v>
      </x:c>
      <x:c r="F80" s="32" t="n">
        <x:v>0.002</x:v>
      </x:c>
      <x:c r="G80" s="35" t="str">
        <x:v>验证规则查询扩展保留原问题，并把命中的中文科研术语追加为可审计英文术语。</x:v>
      </x:c>
      <x:c r="H80" s="35" t="str"/>
    </x:row>
    <x:row r="81" ht="118.80000305175781" hidden="0" customHeight="1">
      <x:c r="A81" s="26" t="n">
        <x:v>77</x:v>
      </x:c>
      <x:c r="B81" s="35" t="str">
        <x:v>tests/test_local_rag_query_rewrite.py</x:v>
      </x:c>
      <x:c r="C81" s="35" t="str">
        <x:v>test_query_expansion_is_deterministic_and_leaves_unknown_query_unchanged</x:v>
      </x:c>
      <x:c r="D81" s="35" t="str">
        <x:v>默认场景</x:v>
      </x:c>
      <x:c r="E81" s="26" t="str">
        <x:v>通过</x:v>
      </x:c>
      <x:c r="F81" s="32" t="n">
        <x:v>0.002</x:v>
      </x:c>
      <x:c r="G81" s="35" t="str">
        <x:v>验证未登记术语不被猜测改写，并且相同输入的扩展结果完全一致。</x:v>
      </x:c>
      <x:c r="H81" s="35" t="str"/>
    </x:row>
    <x:row r="82" ht="132" hidden="0" customHeight="1">
      <x:c r="A82" s="26" t="n">
        <x:v>78</x:v>
      </x:c>
      <x:c r="B82" s="35" t="str">
        <x:v>tests/test_local_rag_rewrite_ab.py</x:v>
      </x:c>
      <x:c r="C82" s="35" t="str">
        <x:v>test_holdout_ab_detects_rank_regression_when_recall_at_five_is_unchanged</x:v>
      </x:c>
      <x:c r="D82" s="35" t="str">
        <x:v>默认场景</x:v>
      </x:c>
      <x:c r="E82" s="26" t="str">
        <x:v>通过</x:v>
      </x:c>
      <x:c r="F82" s="32" t="n">
        <x:v>30.915</x:v>
      </x:c>
      <x:c r="G82" s="35" t="str">
        <x:v>验证查询扩展即使保持 Recall@5，也会因相关证据排名下降而被标记为逐题回归。</x:v>
      </x:c>
      <x:c r="H82" s="35" t="str"/>
    </x:row>
    <x:row r="83" ht="92.4000015258789" hidden="0" customHeight="1">
      <x:c r="A83" s="26" t="n">
        <x:v>79</x:v>
      </x:c>
      <x:c r="B83" s="35" t="str">
        <x:v>tests/test_low_quality_generation.py</x:v>
      </x:c>
      <x:c r="C83" s="35" t="str">
        <x:v>test_low_quality_stop_returns_evidence_safe_answer_without_llm</x:v>
      </x:c>
      <x:c r="D83" s="35" t="str">
        <x:v>默认场景</x:v>
      </x:c>
      <x:c r="E83" s="26" t="str">
        <x:v>通过</x:v>
      </x:c>
      <x:c r="F83" s="32" t="n">
        <x:v>0.002</x:v>
      </x:c>
      <x:c r="G83" s="35" t="str">
        <x:v>验证第二轮仍低质量时跳过大模型并返回证据安全的降级答复。</x:v>
      </x:c>
      <x:c r="H83" s="35" t="str"/>
    </x:row>
    <x:row r="84" ht="79.19999694824219" hidden="0" customHeight="1">
      <x:c r="A84" s="26" t="n">
        <x:v>80</x:v>
      </x:c>
      <x:c r="B84" s="35" t="str">
        <x:v>tests/test_low_quality_generation.py</x:v>
      </x:c>
      <x:c r="C84" s="35" t="str">
        <x:v>test_accepted_retrieval_keeps_normal_generation_path</x:v>
      </x:c>
      <x:c r="D84" s="35" t="str">
        <x:v>默认场景</x:v>
      </x:c>
      <x:c r="E84" s="26" t="str">
        <x:v>通过</x:v>
      </x:c>
      <x:c r="F84" s="32" t="n">
        <x:v>0.002</x:v>
      </x:c>
      <x:c r="G84" s="35" t="str">
        <x:v>验证质量通过的检索仍走原有 Skill/生成路径。</x:v>
      </x:c>
      <x:c r="H84" s="35" t="str"/>
    </x:row>
    <x:row r="85" ht="92.4000015258789" hidden="0" customHeight="1">
      <x:c r="A85" s="26" t="n">
        <x:v>81</x:v>
      </x:c>
      <x:c r="B85" s="35" t="str">
        <x:v>tests/test_low_quality_generation.py</x:v>
      </x:c>
      <x:c r="C85" s="35" t="str">
        <x:v>test_metrics_records_recovery_budget_and_generation_mode</x:v>
      </x:c>
      <x:c r="D85" s="35" t="str">
        <x:v>默认场景</x:v>
      </x:c>
      <x:c r="E85" s="26" t="str">
        <x:v>通过</x:v>
      </x:c>
      <x:c r="F85" s="32" t="n">
        <x:v>0.004</x:v>
      </x:c>
      <x:c r="G85" s="35" t="str">
        <x:v>验证指标记录检索恢复、预算耗尽、回答模式和生成跳过状态。</x:v>
      </x:c>
      <x:c r="H85" s="35" t="str"/>
    </x:row>
    <x:row r="86" ht="118.80000305175781" hidden="0" customHeight="1">
      <x:c r="A86" s="26" t="n">
        <x:v>82</x:v>
      </x:c>
      <x:c r="B86" s="35" t="str">
        <x:v>tests/test_multi_source_retrieval.py</x:v>
      </x:c>
      <x:c r="C86" s="35" t="str">
        <x:v>test_multi_source_retrieval_calls_both_tools_and_deduplicates_by_doi</x:v>
      </x:c>
      <x:c r="D86" s="35" t="str">
        <x:v>默认场景</x:v>
      </x:c>
      <x:c r="E86" s="26" t="str">
        <x:v>通过</x:v>
      </x:c>
      <x:c r="F86" s="32" t="n">
        <x:v>0.004</x:v>
      </x:c>
      <x:c r="G86" s="35" t="str">
        <x:v>验证 multi 模式调用 arXiv 与 OpenAlex，并按 DOI 合并重复论文。</x:v>
      </x:c>
      <x:c r="H86" s="35" t="str"/>
    </x:row>
    <x:row r="87" ht="92.4000015258789" hidden="0" customHeight="1">
      <x:c r="A87" s="26" t="n">
        <x:v>83</x:v>
      </x:c>
      <x:c r="B87" s="35" t="str">
        <x:v>tests/test_multi_source_retrieval.py</x:v>
      </x:c>
      <x:c r="C87" s="35" t="str">
        <x:v>test_multi_source_retrieval_keeps_success_when_one_provider_fails</x:v>
      </x:c>
      <x:c r="D87" s="35" t="str">
        <x:v>默认场景</x:v>
      </x:c>
      <x:c r="E87" s="26" t="str">
        <x:v>通过</x:v>
      </x:c>
      <x:c r="F87" s="32" t="n">
        <x:v>0.002</x:v>
      </x:c>
      <x:c r="G87" s="35" t="str">
        <x:v>验证一个论文来源超时时，多源检索仍使用另一个成功来源。</x:v>
      </x:c>
      <x:c r="H87" s="35" t="str"/>
    </x:row>
    <x:row r="88" ht="118.80000305175781" hidden="0" customHeight="1">
      <x:c r="A88" s="26" t="n">
        <x:v>84</x:v>
      </x:c>
      <x:c r="B88" s="35" t="str">
        <x:v>tests/test_multi_source_retrieval.py</x:v>
      </x:c>
      <x:c r="C88" s="35" t="str">
        <x:v>test_multi_source_retrieval_uses_reranker_only_when_feature_flag_is_enabled</x:v>
      </x:c>
      <x:c r="D88" s="35" t="str">
        <x:v>默认场景</x:v>
      </x:c>
      <x:c r="E88" s="26" t="str">
        <x:v>通过</x:v>
      </x:c>
      <x:c r="F88" s="32" t="n">
        <x:v>0.002</x:v>
      </x:c>
      <x:c r="G88" s="35" t="str">
        <x:v>验证跨来源重排只有在功能开关开启时接入真实 multi 检索流程。</x:v>
      </x:c>
      <x:c r="H88" s="35" t="str"/>
    </x:row>
    <x:row r="89" ht="105.5999984741211" hidden="0" customHeight="1">
      <x:c r="A89" s="26" t="n">
        <x:v>85</x:v>
      </x:c>
      <x:c r="B89" s="35" t="str">
        <x:v>tests/test_multi_source_retrieval.py</x:v>
      </x:c>
      <x:c r="C89" s="35" t="str">
        <x:v>test_multi_source_metadata_verification_can_quarantine_unsafe_record</x:v>
      </x:c>
      <x:c r="D89" s="35" t="str">
        <x:v>默认场景</x:v>
      </x:c>
      <x:c r="E89" s="26" t="str">
        <x:v>通过</x:v>
      </x:c>
      <x:c r="F89" s="32" t="n">
        <x:v>0.002</x:v>
      </x:c>
      <x:c r="G89" s="35" t="str">
        <x:v>验证权威元数据校验开关接入真实多来源检索并隔离低可信身份记录。</x:v>
      </x:c>
      <x:c r="H89" s="35" t="str"/>
    </x:row>
    <x:row r="90" ht="105.5999984741211" hidden="0" customHeight="1">
      <x:c r="A90" s="26" t="n">
        <x:v>86</x:v>
      </x:c>
      <x:c r="B90" s="35" t="str">
        <x:v>tests/test_multi_source_retrieval.py</x:v>
      </x:c>
      <x:c r="C90" s="35" t="str">
        <x:v>test_arxiv_authority_switch_is_independent_from_legacy_metadata_gate</x:v>
      </x:c>
      <x:c r="D90" s="35" t="str">
        <x:v>默认场景</x:v>
      </x:c>
      <x:c r="E90" s="26" t="str">
        <x:v>通过</x:v>
      </x:c>
      <x:c r="F90" s="32" t="n">
        <x:v>0.002</x:v>
      </x:c>
      <x:c r="G90" s="35" t="str">
        <x:v>验证 arXiv 原生身份验证可独立于旧版词法元数据开关受控启用。</x:v>
      </x:c>
      <x:c r="H90" s="35" t="str"/>
    </x:row>
    <x:row r="91" ht="92.4000015258789" hidden="0" customHeight="1">
      <x:c r="A91" s="26" t="n">
        <x:v>87</x:v>
      </x:c>
      <x:c r="B91" s="35" t="str">
        <x:v>tests/test_multi_source_retrieval.py</x:v>
      </x:c>
      <x:c r="C91" s="35" t="str">
        <x:v>test_doi_authority_switch_loads_crossref_without_legacy_gate</x:v>
      </x:c>
      <x:c r="D91" s="35" t="str">
        <x:v>默认场景</x:v>
      </x:c>
      <x:c r="E91" s="26" t="str">
        <x:v>通过</x:v>
      </x:c>
      <x:c r="F91" s="32" t="n">
        <x:v>0.001</x:v>
      </x:c>
      <x:c r="G91" s="35" t="str">
        <x:v>验证 DOI authority 可通过独立开关接入生产多源重排。</x:v>
      </x:c>
      <x:c r="H91" s="35" t="str"/>
    </x:row>
    <x:row r="92" ht="92.4000015258789" hidden="0" customHeight="1">
      <x:c r="A92" s="26" t="n">
        <x:v>88</x:v>
      </x:c>
      <x:c r="B92" s="35" t="str">
        <x:v>tests/test_multi_source_retrieval.py</x:v>
      </x:c>
      <x:c r="C92" s="35" t="str">
        <x:v>test_failed_crossref_lookup_is_not_cached_or_negative_evidence</x:v>
      </x:c>
      <x:c r="D92" s="35" t="str">
        <x:v>默认场景</x:v>
      </x:c>
      <x:c r="E92" s="26" t="str">
        <x:v>通过</x:v>
      </x:c>
      <x:c r="F92" s="32" t="n">
        <x:v>0.009</x:v>
      </x:c>
      <x:c r="G92" s="35" t="str">
        <x:v>验证 Crossref 超时不会缓存或形成 DOI 负证据。</x:v>
      </x:c>
      <x:c r="H92" s="35" t="str"/>
    </x:row>
    <x:row r="93" ht="92.4000015258789" hidden="0" customHeight="1">
      <x:c r="A93" s="26" t="n">
        <x:v>89</x:v>
      </x:c>
      <x:c r="B93" s="35" t="str">
        <x:v>tests/test_openalex_tool.py</x:v>
      </x:c>
      <x:c r="C93" s="35" t="str">
        <x:v>test_reconstruct_abstract_orders_openalex_inverted_positions</x:v>
      </x:c>
      <x:c r="D93" s="35" t="str">
        <x:v>默认场景</x:v>
      </x:c>
      <x:c r="E93" s="26" t="str">
        <x:v>通过</x:v>
      </x:c>
      <x:c r="F93" s="32" t="n">
        <x:v>0.002</x:v>
      </x:c>
      <x:c r="G93" s="35" t="str">
        <x:v>验证 OpenAlex 倒排摘要能够按照词位还原为可读文本。</x:v>
      </x:c>
      <x:c r="H93" s="35" t="str"/>
    </x:row>
    <x:row r="94" ht="132" hidden="0" customHeight="1">
      <x:c r="A94" s="26" t="n">
        <x:v>90</x:v>
      </x:c>
      <x:c r="B94" s="35" t="str">
        <x:v>tests/test_openalex_tool.py</x:v>
      </x:c>
      <x:c r="C94" s="35" t="str">
        <x:v>test_normalize_openalex_work_maps_stable_paper_fields</x:v>
      </x:c>
      <x:c r="D94" s="35" t="str">
        <x:v>默认场景</x:v>
      </x:c>
      <x:c r="E94" s="26" t="str">
        <x:v>通过</x:v>
      </x:c>
      <x:c r="F94" s="32" t="n">
        <x:v>0.002</x:v>
      </x:c>
      <x:c r="G94" s="35" t="str">
        <x:v>验证 OpenAlex Work 的作者、摘要、链接、DOI 和引用数映射到统一论文结构。</x:v>
      </x:c>
      <x:c r="H94" s="35" t="str"/>
    </x:row>
    <x:row r="95" ht="132" hidden="0" customHeight="1">
      <x:c r="A95" s="26" t="n">
        <x:v>91</x:v>
      </x:c>
      <x:c r="B95" s="35" t="str">
        <x:v>tests/test_openalex_tool.py</x:v>
      </x:c>
      <x:c r="C95" s="35" t="str">
        <x:v>test_openalex_client_sends_search_limits_identity_and_optional_key</x:v>
      </x:c>
      <x:c r="D95" s="35" t="str">
        <x:v>默认场景</x:v>
      </x:c>
      <x:c r="E95" s="26" t="str">
        <x:v>通过</x:v>
      </x:c>
      <x:c r="F95" s="32" t="n">
        <x:v>0.001</x:v>
      </x:c>
      <x:c r="G95" s="35" t="str">
        <x:v>验证 OpenAlex Client 使用官方 search 参数、数量限制、身份头和可选凭据。</x:v>
      </x:c>
      <x:c r="H95" s="35" t="str"/>
    </x:row>
    <x:row r="96" ht="92.4000015258789" hidden="0" customHeight="1">
      <x:c r="A96" s="26" t="n">
        <x:v>92</x:v>
      </x:c>
      <x:c r="B96" s="35" t="str">
        <x:v>tests/test_openalex_tool.py</x:v>
      </x:c>
      <x:c r="C96" s="35" t="str">
        <x:v>test_openalex_client_maps_rate_limit_for_executor_recovery</x:v>
      </x:c>
      <x:c r="D96" s="35" t="str">
        <x:v>默认场景</x:v>
      </x:c>
      <x:c r="E96" s="26" t="str">
        <x:v>通过</x:v>
      </x:c>
      <x:c r="F96" s="32" t="n">
        <x:v>0.002</x:v>
      </x:c>
      <x:c r="G96" s="35" t="str">
        <x:v>验证限流等 HTTP 错误不会被伪装成正常空结果。</x:v>
      </x:c>
      <x:c r="H96" s="35" t="str"/>
    </x:row>
    <x:row r="97" ht="105.5999984741211" hidden="0" customHeight="1">
      <x:c r="A97" s="26" t="n">
        <x:v>93</x:v>
      </x:c>
      <x:c r="B97" s="35" t="str">
        <x:v>tests/test_openalex_tool.py</x:v>
      </x:c>
      <x:c r="C97" s="35" t="str">
        <x:v>test_openalex_adapter_delegates_to_injected_client</x:v>
      </x:c>
      <x:c r="D97" s="35" t="str">
        <x:v>默认场景</x:v>
      </x:c>
      <x:c r="E97" s="26" t="str">
        <x:v>通过</x:v>
      </x:c>
      <x:c r="F97" s="32" t="n">
        <x:v>0.002</x:v>
      </x:c>
      <x:c r="G97" s="35" t="str">
        <x:v>验证 OpenAlex Adapter 保持统一 Tool 输入并调用可替换 Client。</x:v>
      </x:c>
      <x:c r="H97" s="35" t="str"/>
    </x:row>
    <x:row r="98" ht="105.5999984741211" hidden="0" customHeight="1">
      <x:c r="A98" s="26" t="n">
        <x:v>94</x:v>
      </x:c>
      <x:c r="B98" s="35" t="str">
        <x:v>tests/test_openalex_tool.py</x:v>
      </x:c>
      <x:c r="C98" s="35" t="str">
        <x:v>test_default_runtime_registers_and_routes_openalex_tool</x:v>
      </x:c>
      <x:c r="D98" s="35" t="str">
        <x:v>默认场景</x:v>
      </x:c>
      <x:c r="E98" s="26" t="str">
        <x:v>通过</x:v>
      </x:c>
      <x:c r="F98" s="32" t="n">
        <x:v>0.001</x:v>
      </x:c>
      <x:c r="G98" s="35" t="str">
        <x:v>验证默认 Tool Runtime 同时注册并可路由 OpenAlex 原生工具。</x:v>
      </x:c>
      <x:c r="H98" s="35" t="str"/>
    </x:row>
    <x:row r="99" ht="79.19999694824219" hidden="0" customHeight="1">
      <x:c r="A99" s="26" t="n">
        <x:v>95</x:v>
      </x:c>
      <x:c r="B99" s="35" t="str">
        <x:v>tests/test_openalex_tool.py</x:v>
      </x:c>
      <x:c r="C99" s="35" t="str">
        <x:v>test_cache_keys_are_isolated_by_paper_source</x:v>
      </x:c>
      <x:c r="D99" s="35" t="str">
        <x:v>默认场景</x:v>
      </x:c>
      <x:c r="E99" s="26" t="str">
        <x:v>通过</x:v>
      </x:c>
      <x:c r="F99" s="32" t="n">
        <x:v>0.002</x:v>
      </x:c>
      <x:c r="G99" s="35" t="str">
        <x:v>验证同一查询在 arXiv 与 OpenAlex 使用独立缓存键。</x:v>
      </x:c>
      <x:c r="H99" s="35" t="str"/>
    </x:row>
    <x:row r="100" ht="105.5999984741211" hidden="0" customHeight="1">
      <x:c r="A100" s="26" t="n">
        <x:v>96</x:v>
      </x:c>
      <x:c r="B100" s="35" t="str">
        <x:v>tests/test_parallel_multi_query_eval.py</x:v>
      </x:c>
      <x:c r="C100" s="35" t="str">
        <x:v>test_multi_query_parallel_benchmark_reports_gate_and_equivalence</x:v>
      </x:c>
      <x:c r="D100" s="35" t="str">
        <x:v>默认场景</x:v>
      </x:c>
      <x:c r="E100" s="26" t="str">
        <x:v>通过</x:v>
      </x:c>
      <x:c r="F100" s="32" t="n">
        <x:v>2.357</x:v>
      </x:c>
      <x:c r="G100" s="35" t="str">
        <x:v>验证子查询并行基准正确计算性能门槛，并保持结果与规划顺序一致。</x:v>
      </x:c>
      <x:c r="H100" s="35" t="str"/>
    </x:row>
    <x:row r="101" ht="92.4000015258789" hidden="0" customHeight="1">
      <x:c r="A101" s="26" t="n">
        <x:v>97</x:v>
      </x:c>
      <x:c r="B101" s="35" t="str">
        <x:v>tests/test_parallel_retrieval.py</x:v>
      </x:c>
      <x:c r="C101" s="35" t="str">
        <x:v>test_parallel_retrieval_preserves_configured_source_order</x:v>
      </x:c>
      <x:c r="D101" s="35" t="str">
        <x:v>默认场景</x:v>
      </x:c>
      <x:c r="E101" s="26" t="str">
        <x:v>通过</x:v>
      </x:c>
      <x:c r="F101" s="32" t="n">
        <x:v>0.039</x:v>
      </x:c>
      <x:c r="G101" s="35" t="str">
        <x:v>验证来源完成顺序不同也不会改变配置顺序和合并结果顺序。</x:v>
      </x:c>
      <x:c r="H101" s="35" t="str"/>
    </x:row>
    <x:row r="102" ht="92.4000015258789" hidden="0" customHeight="1">
      <x:c r="A102" s="26" t="n">
        <x:v>98</x:v>
      </x:c>
      <x:c r="B102" s="35" t="str">
        <x:v>tests/test_parallel_retrieval.py</x:v>
      </x:c>
      <x:c r="C102" s="35" t="str">
        <x:v>test_parallel_retrieval_keeps_partial_success</x:v>
      </x:c>
      <x:c r="D102" s="35" t="str">
        <x:v>默认场景</x:v>
      </x:c>
      <x:c r="E102" s="26" t="str">
        <x:v>通过</x:v>
      </x:c>
      <x:c r="F102" s="32" t="n">
        <x:v>0.003</x:v>
      </x:c>
      <x:c r="G102" s="35" t="str">
        <x:v>验证并行模式下单一来源空结果不影响另一来源成功返回。</x:v>
      </x:c>
      <x:c r="H102" s="35" t="str"/>
    </x:row>
    <x:row r="103" ht="79.19999694824219" hidden="0" customHeight="1">
      <x:c r="A103" s="26" t="n">
        <x:v>99</x:v>
      </x:c>
      <x:c r="B103" s="35" t="str">
        <x:v>tests/test_parallel_retrieval.py</x:v>
      </x:c>
      <x:c r="C103" s="35" t="str">
        <x:v>test_single_source_does_not_create_parallel_pool</x:v>
      </x:c>
      <x:c r="D103" s="35" t="str">
        <x:v>默认场景</x:v>
      </x:c>
      <x:c r="E103" s="26" t="str">
        <x:v>通过</x:v>
      </x:c>
      <x:c r="F103" s="32" t="n">
        <x:v>0.002</x:v>
      </x:c>
      <x:c r="G103" s="35" t="str">
        <x:v>验证单来源检索即使并行开关开启也不创建线程池。</x:v>
      </x:c>
      <x:c r="H103" s="35" t="str"/>
    </x:row>
    <x:row r="104" ht="118.80000305175781" hidden="0" customHeight="1">
      <x:c r="A104" s="26" t="n">
        <x:v>100</x:v>
      </x:c>
      <x:c r="B104" s="35" t="str">
        <x:v>tests/test_parallel_retrieval.py</x:v>
      </x:c>
      <x:c r="C104" s="35" t="str">
        <x:v>test_parallel_benchmark_reports_repeatable_speedup_and_equivalence</x:v>
      </x:c>
      <x:c r="D104" s="35" t="str">
        <x:v>默认场景</x:v>
      </x:c>
      <x:c r="E104" s="26" t="str">
        <x:v>通过</x:v>
      </x:c>
      <x:c r="F104" s="32" t="n">
        <x:v>1.156</x:v>
      </x:c>
      <x:c r="G104" s="35" t="str">
        <x:v>验证来源级并行在重复离线 I/O 实验中稳定降低延迟且保持结果一致。</x:v>
      </x:c>
      <x:c r="H104" s="35" t="str"/>
    </x:row>
    <x:row r="105" ht="105.5999984741211" hidden="0" customHeight="1">
      <x:c r="A105" s="26" t="n">
        <x:v>101</x:v>
      </x:c>
      <x:c r="B105" s="35" t="str">
        <x:v>tests/test_parallel_retrieval_online.py</x:v>
      </x:c>
      <x:c r="C105" s="35" t="str">
        <x:v>test_online_parallel_ab_reports_latency_equivalence_and_gate</x:v>
      </x:c>
      <x:c r="D105" s="35" t="str">
        <x:v>默认场景</x:v>
      </x:c>
      <x:c r="E105" s="26" t="str">
        <x:v>通过</x:v>
      </x:c>
      <x:c r="F105" s="32" t="n">
        <x:v>0.189</x:v>
      </x:c>
      <x:c r="G105" s="35" t="str">
        <x:v>验证在线串行/并行 A/B 同时记录延迟、结果重合率与晋升门槛。</x:v>
      </x:c>
      <x:c r="H105" s="35" t="str"/>
    </x:row>
    <x:row r="106" ht="79.19999694824219" hidden="0" customHeight="1">
      <x:c r="A106" s="26" t="n">
        <x:v>102</x:v>
      </x:c>
      <x:c r="B106" s="35" t="str">
        <x:v>tests/test_parallel_retrieval_online.py</x:v>
      </x:c>
      <x:c r="C106" s="35" t="str">
        <x:v>test_online_parallel_ab_counts_rate_limit_and_blocks_gate</x:v>
      </x:c>
      <x:c r="D106" s="35" t="str">
        <x:v>默认场景</x:v>
      </x:c>
      <x:c r="E106" s="26" t="str">
        <x:v>通过</x:v>
      </x:c>
      <x:c r="F106" s="32" t="n">
        <x:v>0.085</x:v>
      </x:c>
      <x:c r="G106" s="35" t="str">
        <x:v>验证外部来源限流会被单独统计并阻止并行开关晋升。</x:v>
      </x:c>
      <x:c r="H106" s="35" t="str"/>
    </x:row>
    <x:row r="107" ht="105.5999984741211" hidden="0" customHeight="1">
      <x:c r="A107" s="26" t="n">
        <x:v>103</x:v>
      </x:c>
      <x:c r="B107" s="35" t="str">
        <x:v>tests/test_parallel_retrieval_online.py</x:v>
      </x:c>
      <x:c r="C107" s="35" t="str">
        <x:v>test_online_parallel_ab_blocks_equal_fallback_results_after_network_failure</x:v>
      </x:c>
      <x:c r="D107" s="35" t="str">
        <x:v>默认场景</x:v>
      </x:c>
      <x:c r="E107" s="26" t="str">
        <x:v>通过</x:v>
      </x:c>
      <x:c r="F107" s="32" t="n">
        <x:v>0.04</x:v>
      </x:c>
      <x:c r="G107" s="35" t="str">
        <x:v>验证网络全失败时，即使兜底结果完全相同也不能形成假阳性。</x:v>
      </x:c>
      <x:c r="H107" s="35" t="str"/>
    </x:row>
    <x:row r="108" ht="92.4000015258789" hidden="0" customHeight="1">
      <x:c r="A108" s="26" t="n">
        <x:v>104</x:v>
      </x:c>
      <x:c r="B108" s="35" t="str">
        <x:v>tests/test_parallel_retrieval_online.py</x:v>
      </x:c>
      <x:c r="C108" s="35" t="str">
        <x:v>test_online_parallel_ab_rejects_invalid_budget_and_writes_report</x:v>
      </x:c>
      <x:c r="D108" s="35" t="str">
        <x:v>默认场景</x:v>
      </x:c>
      <x:c r="E108" s="26" t="str">
        <x:v>通过</x:v>
      </x:c>
      <x:c r="F108" s="32" t="n">
        <x:v>0.097</x:v>
      </x:c>
      <x:c r="G108" s="35" t="str">
        <x:v>验证在线评测拒绝空查询或非法预算，并能写出可审计 JSON。</x:v>
      </x:c>
      <x:c r="H108" s="35" t="str"/>
    </x:row>
    <x:row r="109" ht="118.80000305175781" hidden="0" customHeight="1">
      <x:c r="A109" s="26" t="n">
        <x:v>105</x:v>
      </x:c>
      <x:c r="B109" s="35" t="str">
        <x:v>tests/test_quality_gate_eval.py</x:v>
      </x:c>
      <x:c r="C109" s="35" t="str">
        <x:v>test_quality_gate_blocks_low_quality_without_false_blocks_or_llm_cost</x:v>
      </x:c>
      <x:c r="D109" s="35" t="str">
        <x:v>默认场景</x:v>
      </x:c>
      <x:c r="E109" s="26" t="str">
        <x:v>通过</x:v>
      </x:c>
      <x:c r="F109" s="32" t="n">
        <x:v>0.002</x:v>
      </x:c>
      <x:c r="G109" s="35" t="str">
        <x:v>验证质量闸门能阻断低质量生成，同时不误拦截正常任务并减少模拟 LLM 成本。</x:v>
      </x:c>
      <x:c r="H109" s="35" t="str"/>
    </x:row>
    <x:row r="110" ht="92.4000015258789" hidden="0" customHeight="1">
      <x:c r="A110" s="26" t="n">
        <x:v>106</x:v>
      </x:c>
      <x:c r="B110" s="35" t="str">
        <x:v>tests/test_query_plan.py</x:v>
      </x:c>
      <x:c r="C110" s="35" t="str">
        <x:v>test_deduplicate_queries_preserves_order_and_ignores_case</x:v>
      </x:c>
      <x:c r="D110" s="35" t="str">
        <x:v>默认场景</x:v>
      </x:c>
      <x:c r="E110" s="26" t="str">
        <x:v>通过</x:v>
      </x:c>
      <x:c r="F110" s="32" t="n">
        <x:v>0.001</x:v>
      </x:c>
      <x:c r="G110" s="35" t="str">
        <x:v>验证查询去重忽略大小写和首尾空格，同时保留首次出现顺序。</x:v>
      </x:c>
      <x:c r="H110" s="35" t="str"/>
    </x:row>
    <x:row r="111" ht="118.80000305175781" hidden="0" customHeight="1">
      <x:c r="A111" s="26" t="n">
        <x:v>107</x:v>
      </x:c>
      <x:c r="B111" s="35" t="str">
        <x:v>tests/test_query_plan.py</x:v>
      </x:c>
      <x:c r="C111" s="35" t="str">
        <x:v>test_build_rule_based_sub_queries_for_each_task_type[qa-expected_suffixes0]</x:v>
      </x:c>
      <x:c r="D111" s="35" t="str">
        <x:v>qa-expected_suffixes0</x:v>
      </x:c>
      <x:c r="E111" s="26" t="str">
        <x:v>通过</x:v>
      </x:c>
      <x:c r="F111" s="32" t="n">
        <x:v>0.002</x:v>
      </x:c>
      <x:c r="G111" s="35" t="str">
        <x:v>验证不同任务类型生成对应的规则子查询集合。</x:v>
      </x:c>
      <x:c r="H111" s="35" t="str"/>
    </x:row>
    <x:row r="112" ht="118.80000305175781" hidden="0" customHeight="1">
      <x:c r="A112" s="26" t="n">
        <x:v>108</x:v>
      </x:c>
      <x:c r="B112" s="35" t="str">
        <x:v>tests/test_query_plan.py</x:v>
      </x:c>
      <x:c r="C112" s="35" t="str">
        <x:v>test_build_rule_based_sub_queries_for_each_task_type[compare-expected_suffixes1]</x:v>
      </x:c>
      <x:c r="D112" s="35" t="str">
        <x:v>compare-expected_suffixes1</x:v>
      </x:c>
      <x:c r="E112" s="26" t="str">
        <x:v>通过</x:v>
      </x:c>
      <x:c r="F112" s="32" t="n">
        <x:v>0.003</x:v>
      </x:c>
      <x:c r="G112" s="35" t="str">
        <x:v>验证不同任务类型生成对应的规则子查询集合。</x:v>
      </x:c>
      <x:c r="H112" s="35" t="str"/>
    </x:row>
    <x:row r="113" ht="118.80000305175781" hidden="0" customHeight="1">
      <x:c r="A113" s="26" t="n">
        <x:v>109</x:v>
      </x:c>
      <x:c r="B113" s="35" t="str">
        <x:v>tests/test_query_plan.py</x:v>
      </x:c>
      <x:c r="C113" s="35" t="str">
        <x:v>test_build_rule_based_sub_queries_for_each_task_type[summarize-expected_suffixes2]</x:v>
      </x:c>
      <x:c r="D113" s="35" t="str">
        <x:v>summarize-expected_suffixes2</x:v>
      </x:c>
      <x:c r="E113" s="26" t="str">
        <x:v>通过</x:v>
      </x:c>
      <x:c r="F113" s="32" t="n">
        <x:v>0.002</x:v>
      </x:c>
      <x:c r="G113" s="35" t="str">
        <x:v>验证不同任务类型生成对应的规则子查询集合。</x:v>
      </x:c>
      <x:c r="H113" s="35" t="str"/>
    </x:row>
    <x:row r="114" ht="118.80000305175781" hidden="0" customHeight="1">
      <x:c r="A114" s="26" t="n">
        <x:v>110</x:v>
      </x:c>
      <x:c r="B114" s="35" t="str">
        <x:v>tests/test_query_plan.py</x:v>
      </x:c>
      <x:c r="C114" s="35" t="str">
        <x:v>test_build_rule_based_sub_queries_for_each_task_type[recommend-expected_suffixes3]</x:v>
      </x:c>
      <x:c r="D114" s="35" t="str">
        <x:v>recommend-expected_suffixes3</x:v>
      </x:c>
      <x:c r="E114" s="26" t="str">
        <x:v>通过</x:v>
      </x:c>
      <x:c r="F114" s="32" t="n">
        <x:v>0.003</x:v>
      </x:c>
      <x:c r="G114" s="35" t="str">
        <x:v>验证不同任务类型生成对应的规则子查询集合。</x:v>
      </x:c>
      <x:c r="H114" s="35" t="str"/>
    </x:row>
    <x:row r="115" ht="118.80000305175781" hidden="0" customHeight="1">
      <x:c r="A115" s="26" t="n">
        <x:v>111</x:v>
      </x:c>
      <x:c r="B115" s="35" t="str">
        <x:v>tests/test_query_plan.py</x:v>
      </x:c>
      <x:c r="C115" s="35" t="str">
        <x:v>test_build_rule_based_sub_queries_for_each_task_type[citation-expected_suffixes4]</x:v>
      </x:c>
      <x:c r="D115" s="35" t="str">
        <x:v>citation-expected_suffixes4</x:v>
      </x:c>
      <x:c r="E115" s="26" t="str">
        <x:v>通过</x:v>
      </x:c>
      <x:c r="F115" s="32" t="n">
        <x:v>0.001</x:v>
      </x:c>
      <x:c r="G115" s="35" t="str">
        <x:v>验证不同任务类型生成对应的规则子查询集合。</x:v>
      </x:c>
      <x:c r="H115" s="35" t="str"/>
    </x:row>
    <x:row r="116" ht="92.4000015258789" hidden="0" customHeight="1">
      <x:c r="A116" s="26" t="n">
        <x:v>112</x:v>
      </x:c>
      <x:c r="B116" s="35" t="str">
        <x:v>tests/test_query_plan.py</x:v>
      </x:c>
      <x:c r="C116" s="35" t="str">
        <x:v>test_build_rule_based_sub_queries_falls_back_to_original_query</x:v>
      </x:c>
      <x:c r="D116" s="35" t="str">
        <x:v>默认场景</x:v>
      </x:c>
      <x:c r="E116" s="26" t="str">
        <x:v>通过</x:v>
      </x:c>
      <x:c r="F116" s="32" t="n">
        <x:v>0.001</x:v>
      </x:c>
      <x:c r="G116" s="35" t="str">
        <x:v>验证改写查询为空时使用原始用户问题兜底。</x:v>
      </x:c>
      <x:c r="H116" s="35" t="str"/>
    </x:row>
    <x:row r="117" ht="92.4000015258789" hidden="0" customHeight="1">
      <x:c r="A117" s="26" t="n">
        <x:v>113</x:v>
      </x:c>
      <x:c r="B117" s="35" t="str">
        <x:v>tests/test_query_plan.py</x:v>
      </x:c>
      <x:c r="C117" s="35" t="str">
        <x:v>test_classify_query_complexity_without_an_llm[state0-simple]</x:v>
      </x:c>
      <x:c r="D117" s="35" t="str">
        <x:v>state0-simple</x:v>
      </x:c>
      <x:c r="E117" s="26" t="str">
        <x:v>通过</x:v>
      </x:c>
      <x:c r="F117" s="32" t="n">
        <x:v>0.002</x:v>
      </x:c>
      <x:c r="G117" s="35" t="str">
        <x:v>验证本地复杂度规则可区分简单、复杂和不适用任务。</x:v>
      </x:c>
      <x:c r="H117" s="35" t="str"/>
    </x:row>
    <x:row r="118" ht="92.4000015258789" hidden="0" customHeight="1">
      <x:c r="A118" s="26" t="n">
        <x:v>114</x:v>
      </x:c>
      <x:c r="B118" s="35" t="str">
        <x:v>tests/test_query_plan.py</x:v>
      </x:c>
      <x:c r="C118" s="35" t="str">
        <x:v>test_classify_query_complexity_without_an_llm[state1-simple]</x:v>
      </x:c>
      <x:c r="D118" s="35" t="str">
        <x:v>state1-simple</x:v>
      </x:c>
      <x:c r="E118" s="26" t="str">
        <x:v>通过</x:v>
      </x:c>
      <x:c r="F118" s="32" t="n">
        <x:v>0.001</x:v>
      </x:c>
      <x:c r="G118" s="35" t="str">
        <x:v>验证本地复杂度规则可区分简单、复杂和不适用任务。</x:v>
      </x:c>
      <x:c r="H118" s="35" t="str"/>
    </x:row>
    <x:row r="119" ht="92.4000015258789" hidden="0" customHeight="1">
      <x:c r="A119" s="26" t="n">
        <x:v>115</x:v>
      </x:c>
      <x:c r="B119" s="35" t="str">
        <x:v>tests/test_query_plan.py</x:v>
      </x:c>
      <x:c r="C119" s="35" t="str">
        <x:v>test_classify_query_complexity_without_an_llm[state2-complex]</x:v>
      </x:c>
      <x:c r="D119" s="35" t="str">
        <x:v>state2-complex</x:v>
      </x:c>
      <x:c r="E119" s="26" t="str">
        <x:v>通过</x:v>
      </x:c>
      <x:c r="F119" s="32" t="n">
        <x:v>0.001</x:v>
      </x:c>
      <x:c r="G119" s="35" t="str">
        <x:v>验证本地复杂度规则可区分简单、复杂和不适用任务。</x:v>
      </x:c>
      <x:c r="H119" s="35" t="str"/>
    </x:row>
    <x:row r="120" ht="92.4000015258789" hidden="0" customHeight="1">
      <x:c r="A120" s="26" t="n">
        <x:v>116</x:v>
      </x:c>
      <x:c r="B120" s="35" t="str">
        <x:v>tests/test_query_plan.py</x:v>
      </x:c>
      <x:c r="C120" s="35" t="str">
        <x:v>test_classify_query_complexity_without_an_llm[state3-complex]</x:v>
      </x:c>
      <x:c r="D120" s="35" t="str">
        <x:v>state3-complex</x:v>
      </x:c>
      <x:c r="E120" s="26" t="str">
        <x:v>通过</x:v>
      </x:c>
      <x:c r="F120" s="32" t="n">
        <x:v>0.003</x:v>
      </x:c>
      <x:c r="G120" s="35" t="str">
        <x:v>验证本地复杂度规则可区分简单、复杂和不适用任务。</x:v>
      </x:c>
      <x:c r="H120" s="35" t="str"/>
    </x:row>
    <x:row r="121" ht="92.4000015258789" hidden="0" customHeight="1">
      <x:c r="A121" s="26" t="n">
        <x:v>117</x:v>
      </x:c>
      <x:c r="B121" s="35" t="str">
        <x:v>tests/test_query_plan.py</x:v>
      </x:c>
      <x:c r="C121" s="35" t="str">
        <x:v>test_classify_query_complexity_without_an_llm[state4-complex]</x:v>
      </x:c>
      <x:c r="D121" s="35" t="str">
        <x:v>state4-complex</x:v>
      </x:c>
      <x:c r="E121" s="26" t="str">
        <x:v>通过</x:v>
      </x:c>
      <x:c r="F121" s="32" t="n">
        <x:v>0.001</x:v>
      </x:c>
      <x:c r="G121" s="35" t="str">
        <x:v>验证本地复杂度规则可区分简单、复杂和不适用任务。</x:v>
      </x:c>
      <x:c r="H121" s="35" t="str"/>
    </x:row>
    <x:row r="122" ht="105.5999984741211" hidden="0" customHeight="1">
      <x:c r="A122" s="26" t="n">
        <x:v>118</x:v>
      </x:c>
      <x:c r="B122" s="35" t="str">
        <x:v>tests/test_query_plan.py</x:v>
      </x:c>
      <x:c r="C122" s="35" t="str">
        <x:v>test_classify_query_complexity_without_an_llm[state5-not_applicable]</x:v>
      </x:c>
      <x:c r="D122" s="35" t="str">
        <x:v>state5-not_applicable</x:v>
      </x:c>
      <x:c r="E122" s="26" t="str">
        <x:v>通过</x:v>
      </x:c>
      <x:c r="F122" s="32" t="n">
        <x:v>0.002</x:v>
      </x:c>
      <x:c r="G122" s="35" t="str">
        <x:v>验证本地复杂度规则可区分简单、复杂和不适用任务。</x:v>
      </x:c>
      <x:c r="H122" s="35" t="str"/>
    </x:row>
    <x:row r="123" ht="66" hidden="0" customHeight="1">
      <x:c r="A123" s="26" t="n">
        <x:v>119</x:v>
      </x:c>
      <x:c r="B123" s="35" t="str">
        <x:v>tests/test_query_plan.py</x:v>
      </x:c>
      <x:c r="C123" s="35" t="str">
        <x:v>test_query_plan_node_skips_pdf_reading_tasks</x:v>
      </x:c>
      <x:c r="D123" s="35" t="str">
        <x:v>默认场景</x:v>
      </x:c>
      <x:c r="E123" s="26" t="str">
        <x:v>通过</x:v>
      </x:c>
      <x:c r="F123" s="32" t="n">
        <x:v>0.002</x:v>
      </x:c>
      <x:c r="G123" s="35" t="str">
        <x:v>验证 PDF 阅读任务完全跳过外部检索规划。</x:v>
      </x:c>
      <x:c r="H123" s="35" t="str"/>
    </x:row>
    <x:row r="124" ht="92.4000015258789" hidden="0" customHeight="1">
      <x:c r="A124" s="26" t="n">
        <x:v>120</x:v>
      </x:c>
      <x:c r="B124" s="35" t="str">
        <x:v>tests/test_query_plan.py</x:v>
      </x:c>
      <x:c r="C124" s="35" t="str">
        <x:v>test_query_plan_node_preserves_and_extends_paper_metadata</x:v>
      </x:c>
      <x:c r="D124" s="35" t="str">
        <x:v>默认场景</x:v>
      </x:c>
      <x:c r="E124" s="26" t="str">
        <x:v>通过</x:v>
      </x:c>
      <x:c r="F124" s="32" t="n">
        <x:v>0.001</x:v>
      </x:c>
      <x:c r="G124" s="35" t="str">
        <x:v>验证查询规划在扩展论文元数据时保留已有请求信息。</x:v>
      </x:c>
      <x:c r="H124" s="35" t="str"/>
    </x:row>
    <x:row r="125" ht="118.80000305175781" hidden="0" customHeight="1">
      <x:c r="A125" s="26" t="n">
        <x:v>121</x:v>
      </x:c>
      <x:c r="B125" s="35" t="str">
        <x:v>tests/test_rag_eval_models.py</x:v>
      </x:c>
      <x:c r="C125" s="35" t="str">
        <x:v>test_rag_dataset_accepts_versioned_grounded_case</x:v>
      </x:c>
      <x:c r="D125" s="35" t="str">
        <x:v>默认场景</x:v>
      </x:c>
      <x:c r="E125" s="26" t="str">
        <x:v>通过</x:v>
      </x:c>
      <x:c r="F125" s="32" t="n">
        <x:v>0.001</x:v>
      </x:c>
      <x:c r="G125" s="35" t="str">
        <x:v>验证本地 RAG 评测数据能记录版本化问题、答案、证据片段、页码和来源。</x:v>
      </x:c>
      <x:c r="H125" s="35" t="str"/>
    </x:row>
    <x:row r="126" ht="92.4000015258789" hidden="0" customHeight="1">
      <x:c r="A126" s="26" t="n">
        <x:v>122</x:v>
      </x:c>
      <x:c r="B126" s="35" t="str">
        <x:v>tests/test_rag_eval_models.py</x:v>
      </x:c>
      <x:c r="C126" s="35" t="str">
        <x:v>test_rag_dataset_rejects_invalid_pages_and_duplicate_evidence</x:v>
      </x:c>
      <x:c r="D126" s="35" t="str">
        <x:v>默认场景</x:v>
      </x:c>
      <x:c r="E126" s="26" t="str">
        <x:v>通过</x:v>
      </x:c>
      <x:c r="F126" s="32" t="n">
        <x:v>0.002</x:v>
      </x:c>
      <x:c r="G126" s="35" t="str">
        <x:v>验证错误页码和重复证据身份会被评测契约拒绝。</x:v>
      </x:c>
      <x:c r="H126" s="35" t="str"/>
    </x:row>
    <x:row r="127" ht="132" hidden="0" customHeight="1">
      <x:c r="A127" s="26" t="n">
        <x:v>123</x:v>
      </x:c>
      <x:c r="B127" s="35" t="str">
        <x:v>tests/test_rag_eval_models.py</x:v>
      </x:c>
      <x:c r="C127" s="35" t="str">
        <x:v>test_rag_dataset_allows_different_questions_to_share_evidence_chunk</x:v>
      </x:c>
      <x:c r="D127" s="35" t="str">
        <x:v>默认场景</x:v>
      </x:c>
      <x:c r="E127" s="26" t="str">
        <x:v>通过</x:v>
      </x:c>
      <x:c r="F127" s="32" t="n">
        <x:v>0.001</x:v>
      </x:c>
      <x:c r="G127" s="35" t="str">
        <x:v>验证不同问题可以引用同一个真实证据块，同时仍禁止单个问题内部重复登记证据。</x:v>
      </x:c>
      <x:c r="H127" s="35" t="str"/>
    </x:row>
    <x:row r="128" ht="118.80000305175781" hidden="0" customHeight="1">
      <x:c r="A128" s="26" t="n">
        <x:v>124</x:v>
      </x:c>
      <x:c r="B128" s="35" t="str">
        <x:v>tests/test_rag_eval_models.py</x:v>
      </x:c>
      <x:c r="C128" s="35" t="str">
        <x:v>test_rag_experiment_config_keeps_technology_choices_replaceable</x:v>
      </x:c>
      <x:c r="D128" s="35" t="str">
        <x:v>默认场景</x:v>
      </x:c>
      <x:c r="E128" s="26" t="str">
        <x:v>通过</x:v>
      </x:c>
      <x:c r="F128" s="32" t="n">
        <x:v>0.001</x:v>
      </x:c>
      <x:c r="G128" s="35" t="str">
        <x:v>验证 Dense 与 Graph 等 RAG 技术通过统一配置字段替换，而非写死实现。</x:v>
      </x:c>
      <x:c r="H128" s="35" t="str"/>
    </x:row>
    <x:row r="129" ht="132" hidden="0" customHeight="1">
      <x:c r="A129" s="26" t="n">
        <x:v>125</x:v>
      </x:c>
      <x:c r="B129" s="35" t="str">
        <x:v>tests/test_rag_gold_dataset.py</x:v>
      </x:c>
      <x:c r="C129" s="35" t="str">
        <x:v>test_rag_gold_v1_has_balanced_corpus_and_question_coverage</x:v>
      </x:c>
      <x:c r="D129" s="35" t="str">
        <x:v>默认场景</x:v>
      </x:c>
      <x:c r="E129" s="26" t="str">
        <x:v>通过</x:v>
      </x:c>
      <x:c r="F129" s="32" t="n">
        <x:v>0.003</x:v>
      </x:c>
      <x:c r="G129" s="35" t="str">
        <x:v>验证首版人工金标准包含 16 题、覆盖全部 8 篇论文，并具有多种题型和两档难度。</x:v>
      </x:c>
      <x:c r="H129" s="35" t="str"/>
    </x:row>
    <x:row r="130" ht="118.80000305175781" hidden="0" customHeight="1">
      <x:c r="A130" s="26" t="n">
        <x:v>126</x:v>
      </x:c>
      <x:c r="B130" s="35" t="str">
        <x:v>tests/test_rag_gold_dataset.py</x:v>
      </x:c>
      <x:c r="C130" s="35" t="str">
        <x:v>test_rag_gold_v1_evidence_is_present_on_declared_pdf_page</x:v>
      </x:c>
      <x:c r="D130" s="35" t="str">
        <x:v>默认场景</x:v>
      </x:c>
      <x:c r="E130" s="26" t="str">
        <x:v>通过</x:v>
      </x:c>
      <x:c r="F130" s="32" t="n">
        <x:v>14.665</x:v>
      </x:c>
      <x:c r="G130" s="35" t="str">
        <x:v>逐题重新解析真实 PDF，验证人工证据原文确实存在于声明的 PDF 页序号。</x:v>
      </x:c>
      <x:c r="H130" s="35" t="str"/>
    </x:row>
    <x:row r="131" ht="118.80000305175781" hidden="0" customHeight="1">
      <x:c r="A131" s="26" t="n">
        <x:v>127</x:v>
      </x:c>
      <x:c r="B131" s="35" t="str">
        <x:v>tests/test_rag_gold_dataset.py</x:v>
      </x:c>
      <x:c r="C131" s="35" t="str">
        <x:v>test_rag_gold_builder_reproduces_committed_dataset</x:v>
      </x:c>
      <x:c r="D131" s="35" t="str">
        <x:v>默认场景</x:v>
      </x:c>
      <x:c r="E131" s="26" t="str">
        <x:v>通过</x:v>
      </x:c>
      <x:c r="F131" s="32" t="n">
        <x:v>15.135</x:v>
      </x:c>
      <x:c r="G131" s="35" t="str">
        <x:v>验证人工规格、PDF、Parser 与 Chunker 可确定性重建已提交的金标准 JSON。</x:v>
      </x:c>
      <x:c r="H131" s="35" t="str"/>
    </x:row>
    <x:row r="132" ht="132" hidden="0" customHeight="1">
      <x:c r="A132" s="26" t="n">
        <x:v>128</x:v>
      </x:c>
      <x:c r="B132" s="35" t="str">
        <x:v>tests/test_rag_holdout_dataset.py</x:v>
      </x:c>
      <x:c r="C132" s="35" t="str">
        <x:v>test_holdout_has_ten_cases_and_no_development_evidence_pages</x:v>
      </x:c>
      <x:c r="D132" s="35" t="str">
        <x:v>默认场景</x:v>
      </x:c>
      <x:c r="E132" s="26" t="str">
        <x:v>通过</x:v>
      </x:c>
      <x:c r="F132" s="32" t="n">
        <x:v>0.005</x:v>
      </x:c>
      <x:c r="G132" s="35" t="str">
        <x:v>验证独立保留集包含 10 题、覆盖全部 8 篇论文，并且证据页不与开发集重叠。</x:v>
      </x:c>
      <x:c r="H132" s="35" t="str"/>
    </x:row>
    <x:row r="133" ht="92.4000015258789" hidden="0" customHeight="1">
      <x:c r="A133" s="26" t="n">
        <x:v>129</x:v>
      </x:c>
      <x:c r="B133" s="35" t="str">
        <x:v>tests/test_rag_holdout_dataset.py</x:v>
      </x:c>
      <x:c r="C133" s="35" t="str">
        <x:v>test_holdout_evidence_is_present_on_declared_pdf_page</x:v>
      </x:c>
      <x:c r="D133" s="35" t="str">
        <x:v>默认场景</x:v>
      </x:c>
      <x:c r="E133" s="26" t="str">
        <x:v>通过</x:v>
      </x:c>
      <x:c r="F133" s="32" t="n">
        <x:v>18.548</x:v>
      </x:c>
      <x:c r="G133" s="35" t="str">
        <x:v>逐题重新解析真实 PDF，验证保留集证据原文存在于声明页面。</x:v>
      </x:c>
      <x:c r="H133" s="35" t="str"/>
    </x:row>
    <x:row r="134" ht="105.5999984741211" hidden="0" customHeight="1">
      <x:c r="A134" s="26" t="n">
        <x:v>130</x:v>
      </x:c>
      <x:c r="B134" s="35" t="str">
        <x:v>tests/test_rag_holdout_dataset.py</x:v>
      </x:c>
      <x:c r="C134" s="35" t="str">
        <x:v>test_holdout_builder_reproduces_frozen_json</x:v>
      </x:c>
      <x:c r="D134" s="35" t="str">
        <x:v>默认场景</x:v>
      </x:c>
      <x:c r="E134" s="26" t="str">
        <x:v>通过</x:v>
      </x:c>
      <x:c r="F134" s="32" t="n">
        <x:v>15.261</x:v>
      </x:c>
      <x:c r="G134" s="35" t="str">
        <x:v>验证保留集可由冻结人工规格、PDF 和固定 Chunker 确定性重建。</x:v>
      </x:c>
      <x:c r="H134" s="35" t="str"/>
    </x:row>
    <x:row r="135" ht="92.4000015258789" hidden="0" customHeight="1">
      <x:c r="A135" s="26" t="n">
        <x:v>131</x:v>
      </x:c>
      <x:c r="B135" s="35" t="str">
        <x:v>tests/test_reranker.py</x:v>
      </x:c>
      <x:c r="C135" s="35" t="str">
        <x:v>test_tokenize_handles_english_stopwords_and_chinese_characters</x:v>
      </x:c>
      <x:c r="D135" s="35" t="str">
        <x:v>默认场景</x:v>
      </x:c>
      <x:c r="E135" s="26" t="str">
        <x:v>通过</x:v>
      </x:c>
      <x:c r="F135" s="32" t="n">
        <x:v>0.002</x:v>
      </x:c>
      <x:c r="G135" s="35" t="str">
        <x:v>验证零 Token 重排器能稳定处理英文停用词和中文字符。</x:v>
      </x:c>
      <x:c r="H135" s="35" t="str"/>
    </x:row>
    <x:row r="136" ht="105.5999984741211" hidden="0" customHeight="1">
      <x:c r="A136" s="26" t="n">
        <x:v>132</x:v>
      </x:c>
      <x:c r="B136" s="35" t="str">
        <x:v>tests/test_reranker.py</x:v>
      </x:c>
      <x:c r="C136" s="35" t="str">
        <x:v>test_metadata_verifier_detects_conflicting_arxiv_ids_and_missing_abstract</x:v>
      </x:c>
      <x:c r="D136" s="35" t="str">
        <x:v>默认场景</x:v>
      </x:c>
      <x:c r="E136" s="26" t="str">
        <x:v>通过</x:v>
      </x:c>
      <x:c r="F136" s="32" t="n">
        <x:v>0.003</x:v>
      </x:c>
      <x:c r="G136" s="35" t="str">
        <x:v>验证元数据校验器识别同一记录中的 arXiv ID 冲突和摘要缺失。</x:v>
      </x:c>
      <x:c r="H136" s="35" t="str"/>
    </x:row>
    <x:row r="137" ht="118.80000305175781" hidden="0" customHeight="1">
      <x:c r="A137" s="26" t="n">
        <x:v>133</x:v>
      </x:c>
      <x:c r="B137" s="35" t="str">
        <x:v>tests/test_reranker.py</x:v>
      </x:c>
      <x:c r="C137" s="35" t="str">
        <x:v>test_reranker_promotes_query_relevant_openalex_candidate_into_top_k</x:v>
      </x:c>
      <x:c r="D137" s="35" t="str">
        <x:v>默认场景</x:v>
      </x:c>
      <x:c r="E137" s="26" t="str">
        <x:v>通过</x:v>
      </x:c>
      <x:c r="F137" s="32" t="n">
        <x:v>0.001</x:v>
      </x:c>
      <x:c r="G137" s="35" t="str">
        <x:v>验证统一重排能让被 arXiv 前五条遮挡的 OpenAlex 高相关论文进入 Top K。</x:v>
      </x:c>
      <x:c r="H137" s="35" t="str"/>
    </x:row>
    <x:row r="138" ht="105.5999984741211" hidden="0" customHeight="1">
      <x:c r="A138" s="26" t="n">
        <x:v>134</x:v>
      </x:c>
      <x:c r="B138" s="35" t="str">
        <x:v>tests/test_reranker.py</x:v>
      </x:c>
      <x:c r="C138" s="35" t="str">
        <x:v>test_reranker_interleaves_equal_relevance_candidates_by_source_rank</x:v>
      </x:c>
      <x:c r="D138" s="35" t="str">
        <x:v>默认场景</x:v>
      </x:c>
      <x:c r="E138" s="26" t="str">
        <x:v>通过</x:v>
      </x:c>
      <x:c r="F138" s="32" t="n">
        <x:v>0.002</x:v>
      </x:c>
      <x:c r="G138" s="35" t="str">
        <x:v>验证文本相关性相同时按各来源原始排名公平交错候选。</x:v>
      </x:c>
      <x:c r="H138" s="35" t="str"/>
    </x:row>
    <x:row r="139" ht="105.5999984741211" hidden="0" customHeight="1">
      <x:c r="A139" s="26" t="n">
        <x:v>135</x:v>
      </x:c>
      <x:c r="B139" s="35" t="str">
        <x:v>tests/test_reranker.py</x:v>
      </x:c>
      <x:c r="C139" s="35" t="str">
        <x:v>test_cross_source_title_conflict_is_visible_and_penalized</x:v>
      </x:c>
      <x:c r="D139" s="35" t="str">
        <x:v>默认场景</x:v>
      </x:c>
      <x:c r="E139" s="26" t="str">
        <x:v>通过</x:v>
      </x:c>
      <x:c r="F139" s="32" t="n">
        <x:v>0.002</x:v>
      </x:c>
      <x:c r="G139" s="35" t="str">
        <x:v>验证相同 DOI 的跨来源标题严重冲突会被合并、标记并降权。</x:v>
      </x:c>
      <x:c r="H139" s="35" t="str"/>
    </x:row>
    <x:row r="140" ht="118.80000305175781" hidden="0" customHeight="1">
      <x:c r="A140" s="26" t="n">
        <x:v>136</x:v>
      </x:c>
      <x:c r="B140" s="35" t="str">
        <x:v>tests/test_reranker.py</x:v>
      </x:c>
      <x:c r="C140" s="35" t="str">
        <x:v>test_authoritative_arxiv_record_repairs_conflicting_secondary_title</x:v>
      </x:c>
      <x:c r="D140" s="35" t="str">
        <x:v>默认场景</x:v>
      </x:c>
      <x:c r="E140" s="26" t="str">
        <x:v>通过</x:v>
      </x:c>
      <x:c r="F140" s="32" t="n">
        <x:v>0.001</x:v>
      </x:c>
      <x:c r="G140" s="35" t="str">
        <x:v>验证相同 arXiv 身份存在原生 arXiv 证据时使用权威字段修复二级来源冲突。</x:v>
      </x:c>
      <x:c r="H140" s="35" t="str"/>
    </x:row>
    <x:row r="141" ht="105.5999984741211" hidden="0" customHeight="1">
      <x:c r="A141" s="26" t="n">
        <x:v>137</x:v>
      </x:c>
      <x:c r="B141" s="35" t="str">
        <x:v>tests/test_reranker.py</x:v>
      </x:c>
      <x:c r="C141" s="35" t="str">
        <x:v>test_unverified_arxiv_identity_with_unrelated_title_is_quarantined</x:v>
      </x:c>
      <x:c r="D141" s="35" t="str">
        <x:v>默认场景</x:v>
      </x:c>
      <x:c r="E141" s="26" t="str">
        <x:v>通过</x:v>
      </x:c>
      <x:c r="F141" s="32" t="n">
        <x:v>0.002</x:v>
      </x:c>
      <x:c r="G141" s="35" t="str">
        <x:v>验证只有二级来源声称 arXiv DOI 且标题与查询无关时执行隔离。</x:v>
      </x:c>
      <x:c r="H141" s="35" t="str"/>
    </x:row>
    <x:row r="142" ht="118.80000305175781" hidden="0" customHeight="1">
      <x:c r="A142" s="26" t="n">
        <x:v>138</x:v>
      </x:c>
      <x:c r="B142" s="35" t="str">
        <x:v>tests/test_reranker.py</x:v>
      </x:c>
      <x:c r="C142" s="35" t="str">
        <x:v>test_unverified_but_query_supported_arxiv_identity_remains_available</x:v>
      </x:c>
      <x:c r="D142" s="35" t="str">
        <x:v>默认场景</x:v>
      </x:c>
      <x:c r="E142" s="26" t="str">
        <x:v>通过</x:v>
      </x:c>
      <x:c r="F142" s="32" t="n">
        <x:v>0.001</x:v>
      </x:c>
      <x:c r="G142" s="35" t="str">
        <x:v>验证尚无原生来源确认但标题与查询高度一致的二级来源记录不会被过度隔离。</x:v>
      </x:c>
      <x:c r="H142" s="35" t="str"/>
    </x:row>
    <x:row r="143" ht="118.80000305175781" hidden="0" customHeight="1">
      <x:c r="A143" s="26" t="n">
        <x:v>139</x:v>
      </x:c>
      <x:c r="B143" s="35" t="str">
        <x:v>tests/test_reranker.py</x:v>
      </x:c>
      <x:c r="C143" s="35" t="str">
        <x:v>test_canonical_arxiv_evidence_repairs_secondary_claim_without_query_gate</x:v>
      </x:c>
      <x:c r="D143" s="35" t="str">
        <x:v>默认场景</x:v>
      </x:c>
      <x:c r="E143" s="26" t="str">
        <x:v>通过</x:v>
      </x:c>
      <x:c r="F143" s="32" t="n">
        <x:v>0.001</x:v>
      </x:c>
      <x:c r="G143" s="35" t="str">
        <x:v>验证取得原生 arXiv 证据后，身份判断不再依赖标题与用户查询的词法重合度。</x:v>
      </x:c>
      <x:c r="H143" s="35" t="str"/>
    </x:row>
    <x:row r="144" ht="132" hidden="0" customHeight="1">
      <x:c r="A144" s="26" t="n">
        <x:v>140</x:v>
      </x:c>
      <x:c r="B144" s="35" t="str">
        <x:v>tests/test_reranker.py</x:v>
      </x:c>
      <x:c r="C144" s="35" t="str">
        <x:v>test_canonical_arxiv_evidence_repairs_wrong_secondary_title</x:v>
      </x:c>
      <x:c r="D144" s="35" t="str">
        <x:v>默认场景</x:v>
      </x:c>
      <x:c r="E144" s="26" t="str">
        <x:v>通过</x:v>
      </x:c>
      <x:c r="F144" s="32" t="n">
        <x:v>0.002</x:v>
      </x:c>
      <x:c r="G144" s="35" t="str">
        <x:v>验证二级来源标题错误时使用同一 ID 的原生 arXiv 标题修复，而不是直接丢弃论文。</x:v>
      </x:c>
      <x:c r="H144" s="35" t="str"/>
    </x:row>
    <x:row r="145" ht="118.80000305175781" hidden="0" customHeight="1">
      <x:c r="A145" s="26" t="n">
        <x:v>141</x:v>
      </x:c>
      <x:c r="B145" s="35" t="str">
        <x:v>tests/test_reranker.py</x:v>
      </x:c>
      <x:c r="C145" s="35" t="str">
        <x:v>test_canonical_arxiv_not_found_is_explicit_negative_evidence</x:v>
      </x:c>
      <x:c r="D145" s="35" t="str">
        <x:v>默认场景</x:v>
      </x:c>
      <x:c r="E145" s="26" t="str">
        <x:v>通过</x:v>
      </x:c>
      <x:c r="F145" s="32" t="n">
        <x:v>0.001</x:v>
      </x:c>
      <x:c r="G145" s="35" t="str">
        <x:v>验证原生 arXiv 按 ID 明确查无记录时，将其作为身份声明无效的负证据。</x:v>
      </x:c>
      <x:c r="H145" s="35" t="str"/>
    </x:row>
    <x:row r="146" ht="118.80000305175781" hidden="0" customHeight="1">
      <x:c r="A146" s="26" t="n">
        <x:v>142</x:v>
      </x:c>
      <x:c r="B146" s="35" t="str">
        <x:v>tests/test_reranker.py</x:v>
      </x:c>
      <x:c r="C146" s="35" t="str">
        <x:v>test_crossref_doi_evidence_repairs_conflicting_secondary_title</x:v>
      </x:c>
      <x:c r="D146" s="35" t="str">
        <x:v>默认场景</x:v>
      </x:c>
      <x:c r="E146" s="26" t="str">
        <x:v>通过</x:v>
      </x:c>
      <x:c r="F146" s="32" t="n">
        <x:v>0.001</x:v>
      </x:c>
      <x:c r="G146" s="35" t="str">
        <x:v>验证同一普通 DOI 的 Crossref 规范标题可修复明显冲突的二级来源标题。</x:v>
      </x:c>
      <x:c r="H146" s="35" t="str"/>
    </x:row>
    <x:row r="147" ht="105.5999984741211" hidden="0" customHeight="1">
      <x:c r="A147" s="26" t="n">
        <x:v>143</x:v>
      </x:c>
      <x:c r="B147" s="35" t="str">
        <x:v>tests/test_reranker.py</x:v>
      </x:c>
      <x:c r="C147" s="35" t="str">
        <x:v>test_crossref_doi_not_found_is_visible_but_does_not_quarantine</x:v>
      </x:c>
      <x:c r="D147" s="35" t="str">
        <x:v>默认场景</x:v>
      </x:c>
      <x:c r="E147" s="26" t="str">
        <x:v>通过</x:v>
      </x:c>
      <x:c r="F147" s="32" t="n">
        <x:v>0.003</x:v>
      </x:c>
      <x:c r="G147" s="35" t="str">
        <x:v>验证 Crossref 明确查无只形成可审计警告，不自动隔离普通 DOI。</x:v>
      </x:c>
      <x:c r="H147" s="35" t="str"/>
    </x:row>
    <x:row r="148" ht="92.4000015258789" hidden="0" customHeight="1">
      <x:c r="A148" s="26" t="n">
        <x:v>144</x:v>
      </x:c>
      <x:c r="B148" s="35" t="str">
        <x:v>tests/test_result_merger.py</x:v>
      </x:c>
      <x:c r="C148" s="35" t="str">
        <x:v>test_normalize_text_handles_none_whitespace_and_case</x:v>
      </x:c>
      <x:c r="D148" s="35" t="str">
        <x:v>默认场景</x:v>
      </x:c>
      <x:c r="E148" s="26" t="str">
        <x:v>通过</x:v>
      </x:c>
      <x:c r="F148" s="32" t="n">
        <x:v>0.001</x:v>
      </x:c>
      <x:c r="G148" s="35" t="str">
        <x:v>验证文档去重使用的文本归一化能处理空值、空格和大小写。</x:v>
      </x:c>
      <x:c r="H148" s="35" t="str"/>
    </x:row>
    <x:row r="149" ht="105.5999984741211" hidden="0" customHeight="1">
      <x:c r="A149" s="26" t="n">
        <x:v>145</x:v>
      </x:c>
      <x:c r="B149" s="35" t="str">
        <x:v>tests/test_result_merger.py</x:v>
      </x:c>
      <x:c r="C149" s="35" t="str">
        <x:v>test_build_document_key_uses_stable_priority</x:v>
      </x:c>
      <x:c r="D149" s="35" t="str">
        <x:v>默认场景</x:v>
      </x:c>
      <x:c r="E149" s="26" t="str">
        <x:v>通过</x:v>
      </x:c>
      <x:c r="F149" s="32" t="n">
        <x:v>0.001</x:v>
      </x:c>
      <x:c r="G149" s="35" t="str">
        <x:v>验证文档唯一键按 DOI、entry_id、PDF URL、标题的稳定优先级选择。</x:v>
      </x:c>
      <x:c r="H149" s="35" t="str"/>
    </x:row>
    <x:row r="150" ht="105.5999984741211" hidden="0" customHeight="1">
      <x:c r="A150" s="26" t="n">
        <x:v>146</x:v>
      </x:c>
      <x:c r="B150" s="35" t="str">
        <x:v>tests/test_result_merger.py</x:v>
      </x:c>
      <x:c r="C150" s="35" t="str">
        <x:v>test_merge_documents_deduplicates_across_groups_and_preserves_priority</x:v>
      </x:c>
      <x:c r="D150" s="35" t="str">
        <x:v>默认场景</x:v>
      </x:c>
      <x:c r="E150" s="26" t="str">
        <x:v>通过</x:v>
      </x:c>
      <x:c r="F150" s="32" t="n">
        <x:v>0.002</x:v>
      </x:c>
      <x:c r="G150" s="35" t="str">
        <x:v>验证多查询结果跨组去重，并保留首次出现的高优先级版本。</x:v>
      </x:c>
      <x:c r="H150" s="35" t="str"/>
    </x:row>
    <x:row r="151" ht="118.80000305175781" hidden="0" customHeight="1">
      <x:c r="A151" s="26" t="n">
        <x:v>147</x:v>
      </x:c>
      <x:c r="B151" s="35" t="str">
        <x:v>tests/test_result_merger.py</x:v>
      </x:c>
      <x:c r="C151" s="35" t="str">
        <x:v>test_merge_documents_deduplicates_cross_source_records_by_doi</x:v>
      </x:c>
      <x:c r="D151" s="35" t="str">
        <x:v>默认场景</x:v>
      </x:c>
      <x:c r="E151" s="26" t="str">
        <x:v>通过</x:v>
      </x:c>
      <x:c r="F151" s="32" t="n">
        <x:v>0.001</x:v>
      </x:c>
      <x:c r="G151" s="35" t="str">
        <x:v>验证 arXiv 与 OpenAlex 使用不同平台 ID 时仍能通过 DOI 识别同一论文。</x:v>
      </x:c>
      <x:c r="H151" s="35" t="str"/>
    </x:row>
    <x:row r="152" ht="105.5999984741211" hidden="0" customHeight="1">
      <x:c r="A152" s="26" t="n">
        <x:v>148</x:v>
      </x:c>
      <x:c r="B152" s="35" t="str">
        <x:v>tests/test_result_merger.py</x:v>
      </x:c>
      <x:c r="C152" s="35" t="str">
        <x:v>test_merge_documents_deduplicates_cross_source_title_when_doi_is_missing</x:v>
      </x:c>
      <x:c r="D152" s="35" t="str">
        <x:v>默认场景</x:v>
      </x:c>
      <x:c r="E152" s="26" t="str">
        <x:v>通过</x:v>
      </x:c>
      <x:c r="F152" s="32" t="n">
        <x:v>0.001</x:v>
      </x:c>
      <x:c r="G152" s="35" t="str">
        <x:v>验证没有 DOI 的同一预印本可通过归一化标题跨来源去重。</x:v>
      </x:c>
      <x:c r="H152" s="35" t="str"/>
    </x:row>
    <x:row r="153" ht="105.5999984741211" hidden="0" customHeight="1">
      <x:c r="A153" s="26" t="n">
        <x:v>149</x:v>
      </x:c>
      <x:c r="B153" s="35" t="str">
        <x:v>tests/test_result_merger.py</x:v>
      </x:c>
      <x:c r="C153" s="35" t="str">
        <x:v>test_merge_documents_keeps_documents_without_a_deduplication_key</x:v>
      </x:c>
      <x:c r="D153" s="35" t="str">
        <x:v>默认场景</x:v>
      </x:c>
      <x:c r="E153" s="26" t="str">
        <x:v>通过</x:v>
      </x:c>
      <x:c r="F153" s="32" t="n">
        <x:v>0.002</x:v>
      </x:c>
      <x:c r="G153" s="35" t="str">
        <x:v>验证缺少稳定标识的匿名结果不会被错误互相合并。</x:v>
      </x:c>
      <x:c r="H153" s="35" t="str"/>
    </x:row>
    <x:row r="154" ht="66" hidden="0" customHeight="1">
      <x:c r="A154" s="26" t="n">
        <x:v>150</x:v>
      </x:c>
      <x:c r="B154" s="35" t="str">
        <x:v>tests/test_result_merger.py</x:v>
      </x:c>
      <x:c r="C154" s="35" t="str">
        <x:v>test_merge_documents_honors_max_documents</x:v>
      </x:c>
      <x:c r="D154" s="35" t="str">
        <x:v>默认场景</x:v>
      </x:c>
      <x:c r="E154" s="26" t="str">
        <x:v>通过</x:v>
      </x:c>
      <x:c r="F154" s="32" t="n">
        <x:v>0.001</x:v>
      </x:c>
      <x:c r="G154" s="35" t="str">
        <x:v>验证合并结果遵守最大文档数量限制。</x:v>
      </x:c>
      <x:c r="H154" s="35" t="str"/>
    </x:row>
    <x:row r="155" ht="92.4000015258789" hidden="0" customHeight="1">
      <x:c r="A155" s="26" t="n">
        <x:v>151</x:v>
      </x:c>
      <x:c r="B155" s="35" t="str">
        <x:v>tests/test_result_merger.py</x:v>
      </x:c>
      <x:c r="C155" s="35" t="str">
        <x:v>test_merge_documents_with_stats_reports_counts</x:v>
      </x:c>
      <x:c r="D155" s="35" t="str">
        <x:v>默认场景</x:v>
      </x:c>
      <x:c r="E155" s="26" t="str">
        <x:v>通过</x:v>
      </x:c>
      <x:c r="F155" s="32" t="n">
        <x:v>0.001</x:v>
      </x:c>
      <x:c r="G155" s="35" t="str">
        <x:v>验证带统计的合并能准确报告原始数、合并数和去重数。</x:v>
      </x:c>
      <x:c r="H155" s="35" t="str"/>
    </x:row>
    <x:row r="156" ht="145.1999969482422" hidden="0" customHeight="1">
      <x:c r="A156" s="26" t="n">
        <x:v>152</x:v>
      </x:c>
      <x:c r="B156" s="35" t="str">
        <x:v>tests/test_retrieval_online_eval.py</x:v>
      </x:c>
      <x:c r="C156" s="35" t="str">
        <x:v>test_retrieval_dataset_loads_versioned_twenty_case_gold_standard</x:v>
      </x:c>
      <x:c r="D156" s="35" t="str">
        <x:v>默认场景</x:v>
      </x:c>
      <x:c r="E156" s="26" t="str">
        <x:v>通过</x:v>
      </x:c>
      <x:c r="F156" s="32" t="n">
        <x:v>0.003</x:v>
      </x:c>
      <x:c r="G156" s="35" t="str">
        <x:v>验证在线检索评测集具有固定版本、20 个唯一问题、统一 K 值和非空金标准论文。</x:v>
      </x:c>
      <x:c r="H156" s="35" t="str"/>
    </x:row>
    <x:row r="157" ht="92.4000015258789" hidden="0" customHeight="1">
      <x:c r="A157" s="26" t="n">
        <x:v>153</x:v>
      </x:c>
      <x:c r="B157" s="35" t="str">
        <x:v>tests/test_retrieval_online_eval.py</x:v>
      </x:c>
      <x:c r="C157" s="35" t="str">
        <x:v>test_retrieval_dataset_rejects_duplicate_case_ids</x:v>
      </x:c>
      <x:c r="D157" s="35" t="str">
        <x:v>默认场景</x:v>
      </x:c>
      <x:c r="E157" s="26" t="str">
        <x:v>通过</x:v>
      </x:c>
      <x:c r="F157" s="32" t="n">
        <x:v>0.004</x:v>
      </x:c>
      <x:c r="G157" s="35" t="str">
        <x:v>验证评测集拒绝重复 case id，避免同一问题被重复计分。</x:v>
      </x:c>
      <x:c r="H157" s="35" t="str"/>
    </x:row>
    <x:row r="158" ht="105.5999984741211" hidden="0" customHeight="1">
      <x:c r="A158" s="26" t="n">
        <x:v>154</x:v>
      </x:c>
      <x:c r="B158" s="35" t="str">
        <x:v>tests/test_retrieval_online_eval.py</x:v>
      </x:c>
      <x:c r="C158" s="35" t="str">
        <x:v>test_paper_identity_normalizes_doi_arxiv_id_and_title</x:v>
      </x:c>
      <x:c r="D158" s="35" t="str">
        <x:v>默认场景</x:v>
      </x:c>
      <x:c r="E158" s="26" t="str">
        <x:v>通过</x:v>
      </x:c>
      <x:c r="F158" s="32" t="n">
        <x:v>0.001</x:v>
      </x:c>
      <x:c r="G158" s="35" t="str">
        <x:v>验证 DOI、arXiv ID 和标题能被归一化为稳定的论文身份键。</x:v>
      </x:c>
      <x:c r="H158" s="35" t="str"/>
    </x:row>
    <x:row r="159" ht="132" hidden="0" customHeight="1">
      <x:c r="A159" s="26" t="n">
        <x:v>155</x:v>
      </x:c>
      <x:c r="B159" s="35" t="str">
        <x:v>tests/test_retrieval_online_eval.py</x:v>
      </x:c>
      <x:c r="C159" s="35" t="str">
        <x:v>test_gold_match_rejects_stable_identity_with_contradictory_title</x:v>
      </x:c>
      <x:c r="D159" s="35" t="str">
        <x:v>默认场景</x:v>
      </x:c>
      <x:c r="E159" s="26" t="str">
        <x:v>通过</x:v>
      </x:c>
      <x:c r="F159" s="32" t="n">
        <x:v>0.003</x:v>
      </x:c>
      <x:c r="G159" s="35" t="str">
        <x:v>验证 DOI/arXiv ID 相同但标题严重冲突的来源记录不会被金标准误判为相关论文。</x:v>
      </x:c>
      <x:c r="H159" s="35" t="str"/>
    </x:row>
    <x:row r="160" ht="132" hidden="0" customHeight="1">
      <x:c r="A160" s="26" t="n">
        <x:v>156</x:v>
      </x:c>
      <x:c r="B160" s="35" t="str">
        <x:v>tests/test_retrieval_online_eval.py</x:v>
      </x:c>
      <x:c r="C160" s="35" t="str">
        <x:v>test_ranking_metrics_calculate_recall_precision_mrr_ndcg_and_dimensions</x:v>
      </x:c>
      <x:c r="D160" s="35" t="str">
        <x:v>默认场景</x:v>
      </x:c>
      <x:c r="E160" s="26" t="str">
        <x:v>通过</x:v>
      </x:c>
      <x:c r="F160" s="32" t="n">
        <x:v>0.004</x:v>
      </x:c>
      <x:c r="G160" s="35" t="str">
        <x:v>用手工可验证的排名检查 Recall、Precision、MRR、nDCG 和维度覆盖率公式。</x:v>
      </x:c>
      <x:c r="H160" s="35" t="str"/>
    </x:row>
    <x:row r="161" ht="79.19999694824219" hidden="0" customHeight="1">
      <x:c r="A161" s="26" t="n">
        <x:v>157</x:v>
      </x:c>
      <x:c r="B161" s="35" t="str">
        <x:v>tests/test_retrieval_online_eval.py</x:v>
      </x:c>
      <x:c r="C161" s="35" t="str">
        <x:v>test_duplicate_rate_handles_zero_and_merged_counts</x:v>
      </x:c>
      <x:c r="D161" s="35" t="str">
        <x:v>默认场景</x:v>
      </x:c>
      <x:c r="E161" s="26" t="str">
        <x:v>通过</x:v>
      </x:c>
      <x:c r="F161" s="32" t="n">
        <x:v>0.002</x:v>
      </x:c>
      <x:c r="G161" s="35" t="str">
        <x:v>验证空结果和存在重复结果时的重复率计算边界。</x:v>
      </x:c>
      <x:c r="H161" s="35" t="str"/>
    </x:row>
    <x:row r="162" ht="105.5999984741211" hidden="0" customHeight="1">
      <x:c r="A162" s="26" t="n">
        <x:v>158</x:v>
      </x:c>
      <x:c r="B162" s="35" t="str">
        <x:v>tests/test_retrieval_online_eval.py</x:v>
      </x:c>
      <x:c r="C162" s="35" t="str">
        <x:v>test_multi_profile_deduplicates_and_records_partial_provider_failure</x:v>
      </x:c>
      <x:c r="D162" s="35" t="str">
        <x:v>默认场景</x:v>
      </x:c>
      <x:c r="E162" s="26" t="str">
        <x:v>通过</x:v>
      </x:c>
      <x:c r="F162" s="32" t="n">
        <x:v>0.002</x:v>
      </x:c>
      <x:c r="G162" s="35" t="str">
        <x:v>验证多来源评测在一个来源失败时仍合并成功来源，并保留失败原因。</x:v>
      </x:c>
      <x:c r="H162" s="35" t="str"/>
    </x:row>
    <x:row r="163" ht="118.80000305175781" hidden="0" customHeight="1">
      <x:c r="A163" s="26" t="n">
        <x:v>159</x:v>
      </x:c>
      <x:c r="B163" s="35" t="str">
        <x:v>tests/test_retrieval_online_eval.py</x:v>
      </x:c>
      <x:c r="C163" s="35" t="str">
        <x:v>test_successful_zero_result_is_empty_instead_of_failed</x:v>
      </x:c>
      <x:c r="D163" s="35" t="str">
        <x:v>默认场景</x:v>
      </x:c>
      <x:c r="E163" s="26" t="str">
        <x:v>通过</x:v>
      </x:c>
      <x:c r="F163" s="32" t="n">
        <x:v>0.003</x:v>
      </x:c>
      <x:c r="G163" s="35" t="str">
        <x:v>验证来源正常响应但没有论文时标记为 empty，而不是网络或执行失败。</x:v>
      </x:c>
      <x:c r="H163" s="35" t="str"/>
    </x:row>
    <x:row r="164" ht="118.80000305175781" hidden="0" customHeight="1">
      <x:c r="A164" s="26" t="n">
        <x:v>160</x:v>
      </x:c>
      <x:c r="B164" s="35" t="str">
        <x:v>tests/test_retrieval_online_eval.py</x:v>
      </x:c>
      <x:c r="C164" s="35" t="str">
        <x:v>test_online_benchmark_reuses_provider_results_across_profiles</x:v>
      </x:c>
      <x:c r="D164" s="35" t="str">
        <x:v>默认场景</x:v>
      </x:c>
      <x:c r="E164" s="26" t="str">
        <x:v>通过</x:v>
      </x:c>
      <x:c r="F164" s="32" t="n">
        <x:v>0.085</x:v>
      </x:c>
      <x:c r="G164" s="35" t="str">
        <x:v>验证同一问题的原始来源响应会在 arXiv、OpenAlex 和 multi 配置间复用。</x:v>
      </x:c>
      <x:c r="H164" s="35" t="str"/>
    </x:row>
    <x:row r="165" ht="92.4000015258789" hidden="0" customHeight="1">
      <x:c r="A165" s="26" t="n">
        <x:v>161</x:v>
      </x:c>
      <x:c r="B165" s="35" t="str">
        <x:v>tests/test_retrieval_online_eval.py</x:v>
      </x:c>
      <x:c r="C165" s="35" t="str">
        <x:v>test_verified_rerank_reports_quarantined_secondary_identity</x:v>
      </x:c>
      <x:c r="D165" s="35" t="str">
        <x:v>默认场景</x:v>
      </x:c>
      <x:c r="E165" s="26" t="str">
        <x:v>通过</x:v>
      </x:c>
      <x:c r="F165" s="32" t="n">
        <x:v>0.002</x:v>
      </x:c>
      <x:c r="G165" s="35" t="str">
        <x:v>验证在线评测为元数据校验策略单独记录隔离数量和规范身份。</x:v>
      </x:c>
      <x:c r="H165" s="35" t="str"/>
    </x:row>
    <x:row r="166" ht="105.5999984741211" hidden="0" customHeight="1">
      <x:c r="A166" s="26" t="n">
        <x:v>162</x:v>
      </x:c>
      <x:c r="B166" s="35" t="str">
        <x:v>tests/test_retrieval_online_eval.py</x:v>
      </x:c>
      <x:c r="C166" s="35" t="str">
        <x:v>test_missing_openalex_key_is_explicitly_skipped_without_network</x:v>
      </x:c>
      <x:c r="D166" s="35" t="str">
        <x:v>默认场景</x:v>
      </x:c>
      <x:c r="E166" s="26" t="str">
        <x:v>通过</x:v>
      </x:c>
      <x:c r="F166" s="32" t="n">
        <x:v>0.007</x:v>
      </x:c>
      <x:c r="G166" s="35" t="str">
        <x:v>验证缺少 OpenAlex API Key 时明确跳过该来源且不发起网络请求。</x:v>
      </x:c>
      <x:c r="H166" s="35" t="str"/>
    </x:row>
    <x:row r="167" ht="132" hidden="0" customHeight="1">
      <x:c r="A167" s="26" t="n">
        <x:v>163</x:v>
      </x:c>
      <x:c r="B167" s="35" t="str">
        <x:v>tests/test_retrieval_online_eval.py</x:v>
      </x:c>
      <x:c r="C167" s="35" t="str">
        <x:v>test_arxiv_pacing_waits_only_for_remaining_interval</x:v>
      </x:c>
      <x:c r="D167" s="35" t="str">
        <x:v>默认场景</x:v>
      </x:c>
      <x:c r="E167" s="26" t="str">
        <x:v>通过</x:v>
      </x:c>
      <x:c r="F167" s="32" t="n">
        <x:v>0.002</x:v>
      </x:c>
      <x:c r="G167" s="35" t="str">
        <x:v>验证在线评测在连续 arXiv 请求之间只等待尚未满足的全局间隔，并能识别 HTTP 429。</x:v>
      </x:c>
      <x:c r="H167" s="35" t="str"/>
    </x:row>
    <x:row r="168" ht="132" hidden="0" customHeight="1">
      <x:c r="A168" s="26" t="n">
        <x:v>164</x:v>
      </x:c>
      <x:c r="B168" s="35" t="str">
        <x:v>tests/test_retrieval_online_eval.py</x:v>
      </x:c>
      <x:c r="C168" s="35" t="str">
        <x:v>test_online_report_writes_json_summary_case_and_paper_tables</x:v>
      </x:c>
      <x:c r="D168" s="35" t="str">
        <x:v>默认场景</x:v>
      </x:c>
      <x:c r="E168" s="26" t="str">
        <x:v>通过</x:v>
      </x:c>
      <x:c r="F168" s="32" t="n">
        <x:v>0.15</x:v>
      </x:c>
      <x:c r="G168" s="35" t="str">
        <x:v>验证在线评测可同时输出机器可读 JSON、快照清单及总览、逐题、论文明细 CSV。</x:v>
      </x:c>
      <x:c r="H168" s="35" t="str"/>
    </x:row>
    <x:row r="169" ht="105.5999984741211" hidden="0" customHeight="1">
      <x:c r="A169" s="26" t="n">
        <x:v>165</x:v>
      </x:c>
      <x:c r="B169" s="35" t="str">
        <x:v>tests/test_retrieval_online_eval.py</x:v>
      </x:c>
      <x:c r="C169" s="35" t="str">
        <x:v>test_snapshot_id_is_path_safe_and_uses_isolated_directory</x:v>
      </x:c>
      <x:c r="D169" s="35" t="str">
        <x:v>默认场景</x:v>
      </x:c>
      <x:c r="E169" s="26" t="str">
        <x:v>通过</x:v>
      </x:c>
      <x:c r="F169" s="32" t="n">
        <x:v>0.006</x:v>
      </x:c>
      <x:c r="G169" s="35" t="str">
        <x:v>验证在线评测快照 ID 只能使用安全字符，并映射到独立快照目录。</x:v>
      </x:c>
      <x:c r="H169" s="35" t="str"/>
    </x:row>
    <x:row r="170" ht="118.80000305175781" hidden="0" customHeight="1">
      <x:c r="A170" s="26" t="n">
        <x:v>166</x:v>
      </x:c>
      <x:c r="B170" s="35" t="str">
        <x:v>tests/test_retrieval_online_eval.py</x:v>
      </x:c>
      <x:c r="C170" s="35" t="str">
        <x:v>test_existing_snapshot_requires_explicit_resume</x:v>
      </x:c>
      <x:c r="D170" s="35" t="str">
        <x:v>默认场景</x:v>
      </x:c>
      <x:c r="E170" s="26" t="str">
        <x:v>通过</x:v>
      </x:c>
      <x:c r="F170" s="32" t="n">
        <x:v>0.009</x:v>
      </x:c>
      <x:c r="G170" s="35" t="str">
        <x:v>验证已有在线评测快照默认不可覆盖，只有显式续跑才能复用其成功响应。</x:v>
      </x:c>
      <x:c r="H170" s="35" t="str"/>
    </x:row>
    <x:row r="171" ht="118.80000305175781" hidden="0" customHeight="1">
      <x:c r="A171" s="26" t="n">
        <x:v>167</x:v>
      </x:c>
      <x:c r="B171" s="35" t="str">
        <x:v>tests/test_retrieval_online_eval.py</x:v>
      </x:c>
      <x:c r="C171" s="35" t="str">
        <x:v>test_arxiv_network_failure_propagates_to_tool_executor</x:v>
      </x:c>
      <x:c r="D171" s="35" t="str">
        <x:v>默认场景</x:v>
      </x:c>
      <x:c r="E171" s="26" t="str">
        <x:v>通过</x:v>
      </x:c>
      <x:c r="F171" s="32" t="n">
        <x:v>0.003</x:v>
      </x:c>
      <x:c r="G171" s="35" t="str">
        <x:v>验证 arXiv 网络异常会传递给 Tool Executor，而不是被伪装成零篇论文。</x:v>
      </x:c>
      <x:c r="H171" s="35" t="str"/>
    </x:row>
    <x:row r="172" ht="79.19999694824219" hidden="0" customHeight="1">
      <x:c r="A172" s="26" t="n">
        <x:v>168</x:v>
      </x:c>
      <x:c r="B172" s="35" t="str">
        <x:v>tests/test_retrieval_replan.py</x:v>
      </x:c>
      <x:c r="C172" s="35" t="str">
        <x:v>test_replan_retries_same_query_for_transient_tool_failure</x:v>
      </x:c>
      <x:c r="D172" s="35" t="str">
        <x:v>默认场景</x:v>
      </x:c>
      <x:c r="E172" s="26" t="str">
        <x:v>通过</x:v>
      </x:c>
      <x:c r="F172" s="32" t="n">
        <x:v>0.001</x:v>
      </x:c>
      <x:c r="G172" s="35" t="str">
        <x:v>验证超时等暂时工具错误不会被误判为查询质量问题。</x:v>
      </x:c>
      <x:c r="H172" s="35" t="str"/>
    </x:row>
    <x:row r="173" ht="79.19999694824219" hidden="0" customHeight="1">
      <x:c r="A173" s="26" t="n">
        <x:v>169</x:v>
      </x:c>
      <x:c r="B173" s="35" t="str">
        <x:v>tests/test_retrieval_replan.py</x:v>
      </x:c>
      <x:c r="C173" s="35" t="str">
        <x:v>test_replan_broadens_empty_query_without_llm</x:v>
      </x:c>
      <x:c r="D173" s="35" t="str">
        <x:v>默认场景</x:v>
      </x:c>
      <x:c r="E173" s="26" t="str">
        <x:v>通过</x:v>
      </x:c>
      <x:c r="F173" s="32" t="n">
        <x:v>0.002</x:v>
      </x:c>
      <x:c r="G173" s="35" t="str">
        <x:v>验证零结果场景使用确定性规则放宽过窄查询。</x:v>
      </x:c>
      <x:c r="H173" s="35" t="str"/>
    </x:row>
    <x:row r="174" ht="92.4000015258789" hidden="0" customHeight="1">
      <x:c r="A174" s="26" t="n">
        <x:v>170</x:v>
      </x:c>
      <x:c r="B174" s="35" t="str">
        <x:v>tests/test_retrieval_replan.py</x:v>
      </x:c>
      <x:c r="C174" s="35" t="str">
        <x:v>test_replan_expands_low_relevance_query_and_records_reason</x:v>
      </x:c>
      <x:c r="D174" s="35" t="str">
        <x:v>默认场景</x:v>
      </x:c>
      <x:c r="E174" s="26" t="str">
        <x:v>通过</x:v>
      </x:c>
      <x:c r="F174" s="32" t="n">
        <x:v>0.002</x:v>
      </x:c>
      <x:c r="G174" s="35" t="str">
        <x:v>验证有结果但相关性低时扩展综述上下文并记录评分原因。</x:v>
      </x:c>
      <x:c r="H174" s="35" t="str"/>
    </x:row>
    <x:row r="175" ht="66" hidden="0" customHeight="1">
      <x:c r="A175" s="26" t="n">
        <x:v>171</x:v>
      </x:c>
      <x:c r="B175" s="35" t="str">
        <x:v>tests/test_retrieval_replan.py</x:v>
      </x:c>
      <x:c r="C175" s="35" t="str">
        <x:v>test_retry_query_overrides_old_multi_query_plan</x:v>
      </x:c>
      <x:c r="D175" s="35" t="str">
        <x:v>默认场景</x:v>
      </x:c>
      <x:c r="E175" s="26" t="str">
        <x:v>通过</x:v>
      </x:c>
      <x:c r="F175" s="32" t="n">
        <x:v>0.001</x:v>
      </x:c>
      <x:c r="G175" s="35" t="str">
        <x:v>验证重规划查询优先于旧的多子查询计划。</x:v>
      </x:c>
      <x:c r="H175" s="35" t="str"/>
    </x:row>
    <x:row r="176" ht="105.5999984741211" hidden="0" customHeight="1">
      <x:c r="A176" s="26" t="n">
        <x:v>172</x:v>
      </x:c>
      <x:c r="B176" s="35" t="str">
        <x:v>tests/test_retrieval_replan_eval.py</x:v>
      </x:c>
      <x:c r="C176" s="35" t="str">
        <x:v>test_replan_outperforms_plain_retry_and_meets_acceptance_gate</x:v>
      </x:c>
      <x:c r="D176" s="35" t="str">
        <x:v>默认场景</x:v>
      </x:c>
      <x:c r="E176" s="26" t="str">
        <x:v>通过</x:v>
      </x:c>
      <x:c r="F176" s="32" t="n">
        <x:v>0.001</x:v>
      </x:c>
      <x:c r="G176" s="35" t="str">
        <x:v>验证固定故障集中 Replan 相对原样重试提升恢复率并减少无效重试。</x:v>
      </x:c>
      <x:c r="H176" s="35" t="str"/>
    </x:row>
    <x:row r="177" ht="105.5999984741211" hidden="0" customHeight="1">
      <x:c r="A177" s="26" t="n">
        <x:v>173</x:v>
      </x:c>
      <x:c r="B177" s="35" t="str">
        <x:v>tests/test_retrieval_snapshot_compare.py</x:v>
      </x:c>
      <x:c r="C177" s="35" t="str">
        <x:v>test_snapshot_comparison_passes_stable_complete_non_regressing_candidate</x:v>
      </x:c>
      <x:c r="D177" s="35" t="str">
        <x:v>默认场景</x:v>
      </x:c>
      <x:c r="E177" s="26" t="str">
        <x:v>通过</x:v>
      </x:c>
      <x:c r="F177" s="32" t="n">
        <x:v>0.002</x:v>
      </x:c>
      <x:c r="G177" s="35" t="str">
        <x:v>验证两份完整快照在质量不回归且隔离集合稳定时可以通过晋升门槛。</x:v>
      </x:c>
      <x:c r="H177" s="35" t="str"/>
    </x:row>
    <x:row r="178" ht="105.5999984741211" hidden="0" customHeight="1">
      <x:c r="A178" s="26" t="n">
        <x:v>174</x:v>
      </x:c>
      <x:c r="B178" s="35" t="str">
        <x:v>tests/test_retrieval_snapshot_compare.py</x:v>
      </x:c>
      <x:c r="C178" s="35" t="str">
        <x:v>test_snapshot_comparison_blocks_quality_or_quarantine_instability</x:v>
      </x:c>
      <x:c r="D178" s="35" t="str">
        <x:v>默认场景</x:v>
      </x:c>
      <x:c r="E178" s="26" t="str">
        <x:v>通过</x:v>
      </x:c>
      <x:c r="F178" s="32" t="n">
        <x:v>0.001</x:v>
      </x:c>
      <x:c r="G178" s="35" t="str">
        <x:v>验证跨快照出现逐题质量下降或隔离集合漂移时阻止默认启用候选策略。</x:v>
      </x:c>
      <x:c r="H178" s="35" t="str"/>
    </x:row>
    <x:row r="179" ht="105.5999984741211" hidden="0" customHeight="1">
      <x:c r="A179" s="26" t="n">
        <x:v>175</x:v>
      </x:c>
      <x:c r="B179" s="35" t="str">
        <x:v>tests/test_retrieval_stop_decision.py</x:v>
      </x:c>
      <x:c r="C179" s="35" t="str">
        <x:v>test_first_low_score_requests_replan</x:v>
      </x:c>
      <x:c r="D179" s="35" t="str">
        <x:v>默认场景</x:v>
      </x:c>
      <x:c r="E179" s="26" t="str">
        <x:v>通过</x:v>
      </x:c>
      <x:c r="F179" s="32" t="n">
        <x:v>0.001</x:v>
      </x:c>
      <x:c r="G179" s="35" t="str">
        <x:v>验证首次检索低于质量门槛时输出明确的 Replan 请求状态。</x:v>
      </x:c>
      <x:c r="H179" s="35" t="str"/>
    </x:row>
    <x:row r="180" ht="92.4000015258789" hidden="0" customHeight="1">
      <x:c r="A180" s="26" t="n">
        <x:v>176</x:v>
      </x:c>
      <x:c r="B180" s="35" t="str">
        <x:v>tests/test_retrieval_stop_decision.py</x:v>
      </x:c>
      <x:c r="C180" s="35" t="str">
        <x:v>test_second_low_score_stops_when_retry_budget_is_exhausted</x:v>
      </x:c>
      <x:c r="D180" s="35" t="str">
        <x:v>默认场景</x:v>
      </x:c>
      <x:c r="E180" s="26" t="str">
        <x:v>通过</x:v>
      </x:c>
      <x:c r="F180" s="32" t="n">
        <x:v>0.002</x:v>
      </x:c>
      <x:c r="G180" s="35" t="str">
        <x:v>验证第二轮仍低质量时停止并记录重试预算耗尽。</x:v>
      </x:c>
      <x:c r="H180" s="35" t="str"/>
    </x:row>
    <x:row r="181" ht="79.19999694824219" hidden="0" customHeight="1">
      <x:c r="A181" s="26" t="n">
        <x:v>177</x:v>
      </x:c>
      <x:c r="B181" s="35" t="str">
        <x:v>tests/test_retrieval_stop_decision.py</x:v>
      </x:c>
      <x:c r="C181" s="35" t="str">
        <x:v>test_second_high_score_records_recovery</x:v>
      </x:c>
      <x:c r="D181" s="35" t="str">
        <x:v>默认场景</x:v>
      </x:c>
      <x:c r="E181" s="26" t="str">
        <x:v>通过</x:v>
      </x:c>
      <x:c r="F181" s="32" t="n">
        <x:v>0.001</x:v>
      </x:c>
      <x:c r="G181" s="35" t="str">
        <x:v>验证 Replan 后质量达到门槛时记录恢复成功。</x:v>
      </x:c>
      <x:c r="H181" s="35" t="str"/>
    </x:row>
    <x:row r="182" ht="79.19999694824219" hidden="0" customHeight="1">
      <x:c r="A182" s="26" t="n">
        <x:v>178</x:v>
      </x:c>
      <x:c r="B182" s="35" t="str">
        <x:v>tests/test_retrieve_planning.py</x:v>
      </x:c>
      <x:c r="C182" s="35" t="str">
        <x:v>test_single_planned_query_uses_single_query_retrieval</x:v>
      </x:c>
      <x:c r="D182" s="35" t="str">
        <x:v>默认场景</x:v>
      </x:c>
      <x:c r="E182" s="26" t="str">
        <x:v>通过</x:v>
      </x:c>
      <x:c r="F182" s="32" t="n">
        <x:v>0.001</x:v>
      </x:c>
      <x:c r="G182" s="35" t="str">
        <x:v>验证只有一个规划查询时走低成本单查询检索路径。</x:v>
      </x:c>
      <x:c r="H182" s="35" t="str"/>
    </x:row>
    <x:row r="183" ht="79.19999694824219" hidden="0" customHeight="1">
      <x:c r="A183" s="26" t="n">
        <x:v>179</x:v>
      </x:c>
      <x:c r="B183" s="35" t="str">
        <x:v>tests/test_retrieve_planning.py</x:v>
      </x:c>
      <x:c r="C183" s="35" t="str">
        <x:v>test_multiple_planned_queries_use_multi_query_retrieval</x:v>
      </x:c>
      <x:c r="D183" s="35" t="str">
        <x:v>默认场景</x:v>
      </x:c>
      <x:c r="E183" s="26" t="str">
        <x:v>通过</x:v>
      </x:c>
      <x:c r="F183" s="32" t="n">
        <x:v>0.002</x:v>
      </x:c>
      <x:c r="G183" s="35" t="str">
        <x:v>验证多个规划查询时启用多查询检索。</x:v>
      </x:c>
      <x:c r="H183" s="35" t="str"/>
    </x:row>
    <x:row r="184" ht="92.4000015258789" hidden="0" customHeight="1">
      <x:c r="A184" s="26" t="n">
        <x:v>180</x:v>
      </x:c>
      <x:c r="B184" s="35" t="str">
        <x:v>tests/test_retrieve_planning.py</x:v>
      </x:c>
      <x:c r="C184" s="35" t="str">
        <x:v>test_multi_query_parallel_preserves_planned_order</x:v>
      </x:c>
      <x:c r="D184" s="35" t="str">
        <x:v>默认场景</x:v>
      </x:c>
      <x:c r="E184" s="26" t="str">
        <x:v>通过</x:v>
      </x:c>
      <x:c r="F184" s="32" t="n">
        <x:v>0.041</x:v>
      </x:c>
      <x:c r="G184" s="35" t="str">
        <x:v>验证子查询完成顺序不同也不会改变规划顺序与合并结果顺序。</x:v>
      </x:c>
      <x:c r="H184" s="35" t="str"/>
    </x:row>
    <x:row r="185" ht="79.19999694824219" hidden="0" customHeight="1">
      <x:c r="A185" s="26" t="n">
        <x:v>181</x:v>
      </x:c>
      <x:c r="B185" s="35" t="str">
        <x:v>tests/test_retrieve_planning.py</x:v>
      </x:c>
      <x:c r="C185" s="35" t="str">
        <x:v>test_multi_query_single_query_does_not_create_pool</x:v>
      </x:c>
      <x:c r="D185" s="35" t="str">
        <x:v>默认场景</x:v>
      </x:c>
      <x:c r="E185" s="26" t="str">
        <x:v>通过</x:v>
      </x:c>
      <x:c r="F185" s="32" t="n">
        <x:v>0.001</x:v>
      </x:c>
      <x:c r="G185" s="35" t="str">
        <x:v>验证只有一个子查询时不创建线程池。</x:v>
      </x:c>
      <x:c r="H185" s="35" t="str"/>
    </x:row>
    <x:row r="186" ht="118.80000305175781" hidden="0" customHeight="1">
      <x:c r="A186" s="26" t="n">
        <x:v>182</x:v>
      </x:c>
      <x:c r="B186" s="35" t="str">
        <x:v>tests/test_retrieve_tool_integration.py</x:v>
      </x:c>
      <x:c r="C186" s="35" t="str">
        <x:v>test_cache_miss_uses_tool_runtime_and_records_execution</x:v>
      </x:c>
      <x:c r="D186" s="35" t="str">
        <x:v>默认场景</x:v>
      </x:c>
      <x:c r="E186" s="26" t="str">
        <x:v>通过</x:v>
      </x:c>
      <x:c r="F186" s="32" t="n">
        <x:v>0.002</x:v>
      </x:c>
      <x:c r="G186" s="35" t="str">
        <x:v>验证缓存未命中时 Retrieve Node 通过 Router 和 Executor 调用 arXiv。</x:v>
      </x:c>
      <x:c r="H186" s="35" t="str"/>
    </x:row>
    <x:row r="187" ht="92.4000015258789" hidden="0" customHeight="1">
      <x:c r="A187" s="26" t="n">
        <x:v>183</x:v>
      </x:c>
      <x:c r="B187" s="35" t="str">
        <x:v>tests/test_retrieve_tool_integration.py</x:v>
      </x:c>
      <x:c r="C187" s="35" t="str">
        <x:v>test_tool_failure_uses_existing_fallback_and_keeps_error_metadata</x:v>
      </x:c>
      <x:c r="D187" s="35" t="str">
        <x:v>默认场景</x:v>
      </x:c>
      <x:c r="E187" s="26" t="str">
        <x:v>通过</x:v>
      </x:c>
      <x:c r="F187" s="32" t="n">
        <x:v>0.002</x:v>
      </x:c>
      <x:c r="G187" s="35" t="str">
        <x:v>验证统一工具执行失败后沿用现有 fallback，并保留失败原因。</x:v>
      </x:c>
      <x:c r="H187" s="35" t="str"/>
    </x:row>
    <x:row r="188" ht="105.5999984741211" hidden="0" customHeight="1">
      <x:c r="A188" s="26" t="n">
        <x:v>184</x:v>
      </x:c>
      <x:c r="B188" s="35" t="str">
        <x:v>tests/test_test_catalog.py</x:v>
      </x:c>
      <x:c r="C188" s="35" t="str">
        <x:v>test_catalog_exactly_covers_all_test_functions</x:v>
      </x:c>
      <x:c r="D188" s="35" t="str">
        <x:v>默认场景</x:v>
      </x:c>
      <x:c r="E188" s="26" t="str">
        <x:v>通过</x:v>
      </x:c>
      <x:c r="F188" s="32" t="n">
        <x:v>0.063</x:v>
      </x:c>
      <x:c r="G188" s="35" t="str">
        <x:v>强制每个测试函数都登记作用、通过含义和失败含义，并清理失效记录。</x:v>
      </x:c>
      <x:c r="H188" s="35" t="str"/>
    </x:row>
    <x:row r="189" ht="92.4000015258789" hidden="0" customHeight="1">
      <x:c r="A189" s="26" t="n">
        <x:v>185</x:v>
      </x:c>
      <x:c r="B189" s="35" t="str">
        <x:v>tests/test_test_report.py</x:v>
      </x:c>
      <x:c r="C189" s="35" t="str">
        <x:v>test_parse_junit_xml_normalizes_status_duration_and_message</x:v>
      </x:c>
      <x:c r="D189" s="35" t="str">
        <x:v>默认场景</x:v>
      </x:c>
      <x:c r="E189" s="26" t="str">
        <x:v>通过</x:v>
      </x:c>
      <x:c r="F189" s="32" t="n">
        <x:v>0.013</x:v>
      </x:c>
      <x:c r="G189" s="35" t="str">
        <x:v>验证测试报告采集器能把 JUnit XML 转成统一明细记录。</x:v>
      </x:c>
      <x:c r="H189" s="35" t="str"/>
    </x:row>
    <x:row r="190" ht="92.4000015258789" hidden="0" customHeight="1">
      <x:c r="A190" s="26" t="n">
        <x:v>186</x:v>
      </x:c>
      <x:c r="B190" s="35" t="str">
        <x:v>tests/test_test_report.py</x:v>
      </x:c>
      <x:c r="C190" s="35" t="str">
        <x:v>test_summarize_calculates_counts_rate_and_duration</x:v>
      </x:c>
      <x:c r="D190" s="35" t="str">
        <x:v>默认场景</x:v>
      </x:c>
      <x:c r="E190" s="26" t="str">
        <x:v>通过</x:v>
      </x:c>
      <x:c r="F190" s="32" t="n">
        <x:v>0.002</x:v>
      </x:c>
      <x:c r="G190" s="35" t="str">
        <x:v>验证测试报告总览的数量、通过率、耗时和退出码计算。</x:v>
      </x:c>
      <x:c r="H190" s="35" t="str"/>
    </x:row>
    <x:row r="191" ht="92.4000015258789" hidden="0" customHeight="1">
      <x:c r="A191" s="26" t="n">
        <x:v>187</x:v>
      </x:c>
      <x:c r="B191" s="35" t="str">
        <x:v>tests/test_tool_layer.py</x:v>
      </x:c>
      <x:c r="C191" s="35" t="str">
        <x:v>test_registry_registers_discovers_and_filters_tools</x:v>
      </x:c>
      <x:c r="D191" s="35" t="str">
        <x:v>默认场景</x:v>
      </x:c>
      <x:c r="E191" s="26" t="str">
        <x:v>通过</x:v>
      </x:c>
      <x:c r="F191" s="32" t="n">
        <x:v>0.001</x:v>
      </x:c>
      <x:c r="G191" s="35" t="str">
        <x:v>验证 Tool Registry 可以注册、按名称发现并按能力筛选工具。</x:v>
      </x:c>
      <x:c r="H191" s="35" t="str"/>
    </x:row>
    <x:row r="192" ht="79.19999694824219" hidden="0" customHeight="1">
      <x:c r="A192" s="26" t="n">
        <x:v>188</x:v>
      </x:c>
      <x:c r="B192" s="35" t="str">
        <x:v>tests/test_tool_layer.py</x:v>
      </x:c>
      <x:c r="C192" s="35" t="str">
        <x:v>test_registry_rejects_duplicate_tool_names</x:v>
      </x:c>
      <x:c r="D192" s="35" t="str">
        <x:v>默认场景</x:v>
      </x:c>
      <x:c r="E192" s="26" t="str">
        <x:v>通过</x:v>
      </x:c>
      <x:c r="F192" s="32" t="n">
        <x:v>0.002</x:v>
      </x:c>
      <x:c r="G192" s="35" t="str">
        <x:v>验证 Registry 拒绝相同稳定名称的重复工具。</x:v>
      </x:c>
      <x:c r="H192" s="35" t="str"/>
    </x:row>
    <x:row r="193" ht="105.5999984741211" hidden="0" customHeight="1">
      <x:c r="A193" s="26" t="n">
        <x:v>189</x:v>
      </x:c>
      <x:c r="B193" s="35" t="str">
        <x:v>tests/test_tool_layer.py</x:v>
      </x:c>
      <x:c r="C193" s="35" t="str">
        <x:v>test_executor_returns_structured_error_for_unknown_tool</x:v>
      </x:c>
      <x:c r="D193" s="35" t="str">
        <x:v>默认场景</x:v>
      </x:c>
      <x:c r="E193" s="26" t="str">
        <x:v>通过</x:v>
      </x:c>
      <x:c r="F193" s="32" t="n">
        <x:v>0.001</x:v>
      </x:c>
      <x:c r="G193" s="35" t="str">
        <x:v>验证执行不存在的工具时返回标准化错误而不是抛出未处理异常。</x:v>
      </x:c>
      <x:c r="H193" s="35" t="str"/>
    </x:row>
    <x:row r="194" ht="92.4000015258789" hidden="0" customHeight="1">
      <x:c r="A194" s="26" t="n">
        <x:v>190</x:v>
      </x:c>
      <x:c r="B194" s="35" t="str">
        <x:v>tests/test_tool_layer.py</x:v>
      </x:c>
      <x:c r="C194" s="35" t="str">
        <x:v>test_executor_rejects_invalid_input_without_invoking_tool</x:v>
      </x:c>
      <x:c r="D194" s="35" t="str">
        <x:v>默认场景</x:v>
      </x:c>
      <x:c r="E194" s="26" t="str">
        <x:v>通过</x:v>
      </x:c>
      <x:c r="F194" s="32" t="n">
        <x:v>0.001</x:v>
      </x:c>
      <x:c r="G194" s="35" t="str">
        <x:v>验证 Tool Executor 在执行前使用 Pydantic 校验输入参数。</x:v>
      </x:c>
      <x:c r="H194" s="35" t="str"/>
    </x:row>
    <x:row r="195" ht="92.4000015258789" hidden="0" customHeight="1">
      <x:c r="A195" s="26" t="n">
        <x:v>191</x:v>
      </x:c>
      <x:c r="B195" s="35" t="str">
        <x:v>tests/test_tool_layer.py</x:v>
      </x:c>
      <x:c r="C195" s="35" t="str">
        <x:v>test_executor_blocks_non_read_only_tool_before_invocation</x:v>
      </x:c>
      <x:c r="D195" s="35" t="str">
        <x:v>默认场景</x:v>
      </x:c>
      <x:c r="E195" s="26" t="str">
        <x:v>通过</x:v>
      </x:c>
      <x:c r="F195" s="32" t="n">
        <x:v>0.002</x:v>
      </x:c>
      <x:c r="G195" s="35" t="str">
        <x:v>验证默认 ToolPolicy 在调用前拒绝非只读工具。</x:v>
      </x:c>
      <x:c r="H195" s="35" t="str"/>
    </x:row>
    <x:row r="196" ht="105.5999984741211" hidden="0" customHeight="1">
      <x:c r="A196" s="26" t="n">
        <x:v>192</x:v>
      </x:c>
      <x:c r="B196" s="35" t="str">
        <x:v>tests/test_tool_layer.py</x:v>
      </x:c>
      <x:c r="C196" s="35" t="str">
        <x:v>test_executor_validates_output_and_records_execution_metadata</x:v>
      </x:c>
      <x:c r="D196" s="35" t="str">
        <x:v>默认场景</x:v>
      </x:c>
      <x:c r="E196" s="26" t="str">
        <x:v>通过</x:v>
      </x:c>
      <x:c r="F196" s="32" t="n">
        <x:v>0.003</x:v>
      </x:c>
      <x:c r="G196" s="35" t="str">
        <x:v>验证成功工具调用会校验输出并记录版本、来源、能力、风险和延迟。</x:v>
      </x:c>
      <x:c r="H196" s="35" t="str"/>
    </x:row>
    <x:row r="197" ht="92.4000015258789" hidden="0" customHeight="1">
      <x:c r="A197" s="26" t="n">
        <x:v>193</x:v>
      </x:c>
      <x:c r="B197" s="35" t="str">
        <x:v>tests/test_tool_layer.py</x:v>
      </x:c>
      <x:c r="C197" s="35" t="str">
        <x:v>test_executor_retries_retryable_failure_then_returns_success</x:v>
      </x:c>
      <x:c r="D197" s="35" t="str">
        <x:v>默认场景</x:v>
      </x:c>
      <x:c r="E197" s="26" t="str">
        <x:v>通过</x:v>
      </x:c>
      <x:c r="F197" s="32" t="n">
        <x:v>0.004</x:v>
      </x:c>
      <x:c r="G197" s="35" t="str">
        <x:v>验证临时执行错误可以按照有限 RetryPolicy 重试。</x:v>
      </x:c>
      <x:c r="H197" s="35" t="str"/>
    </x:row>
    <x:row r="198" ht="92.4000015258789" hidden="0" customHeight="1">
      <x:c r="A198" s="26" t="n">
        <x:v>194</x:v>
      </x:c>
      <x:c r="B198" s="35" t="str">
        <x:v>tests/test_tool_layer.py</x:v>
      </x:c>
      <x:c r="C198" s="35" t="str">
        <x:v>test_executor_returns_structured_rate_limit_after_finite_retries</x:v>
      </x:c>
      <x:c r="D198" s="35" t="str">
        <x:v>默认场景</x:v>
      </x:c>
      <x:c r="E198" s="26" t="str">
        <x:v>通过</x:v>
      </x:c>
      <x:c r="F198" s="32" t="n">
        <x:v>0.002</x:v>
      </x:c>
      <x:c r="G198" s="35" t="str">
        <x:v>验证数据源限流经过有限次数重试后返回独立标准错误码。</x:v>
      </x:c>
      <x:c r="H198" s="35" t="str"/>
    </x:row>
    <x:row r="199" ht="79.19999694824219" hidden="0" customHeight="1">
      <x:c r="A199" s="26" t="n">
        <x:v>195</x:v>
      </x:c>
      <x:c r="B199" s="35" t="str">
        <x:v>tests/test_tool_layer.py</x:v>
      </x:c>
      <x:c r="C199" s="35" t="str">
        <x:v>test_executor_returns_timeout_after_bounded_wait</x:v>
      </x:c>
      <x:c r="D199" s="35" t="str">
        <x:v>默认场景</x:v>
      </x:c>
      <x:c r="E199" s="26" t="str">
        <x:v>通过</x:v>
      </x:c>
      <x:c r="F199" s="32" t="n">
        <x:v>0.011</x:v>
      </x:c>
      <x:c r="G199" s="35" t="str">
        <x:v>验证工具超过配置时间后返回结构化超时错误。</x:v>
      </x:c>
      <x:c r="H199" s="35" t="str"/>
    </x:row>
    <x:row r="200" ht="79.19999694824219" hidden="0" customHeight="1">
      <x:c r="A200" s="26" t="n">
        <x:v>196</x:v>
      </x:c>
      <x:c r="B200" s="35" t="str">
        <x:v>tests/test_tool_layer.py</x:v>
      </x:c>
      <x:c r="C200" s="35" t="str">
        <x:v>test_executor_rejects_output_that_breaks_tool_contract</x:v>
      </x:c>
      <x:c r="D200" s="35" t="str">
        <x:v>默认场景</x:v>
      </x:c>
      <x:c r="E200" s="26" t="str">
        <x:v>通过</x:v>
      </x:c>
      <x:c r="F200" s="32" t="n">
        <x:v>0.002</x:v>
      </x:c>
      <x:c r="G200" s="35" t="str">
        <x:v>验证工具返回值不符合输出 Schema 时被拒绝。</x:v>
      </x:c>
      <x:c r="H200" s="35" t="str"/>
    </x:row>
    <x:row r="201" ht="92.4000015258789" hidden="0" customHeight="1">
      <x:c r="A201" s="26" t="n">
        <x:v>197</x:v>
      </x:c>
      <x:c r="B201" s="35" t="str">
        <x:v>tests/test_tool_layer.py</x:v>
      </x:c>
      <x:c r="C201" s="35" t="str">
        <x:v>test_router_resolves_registered_capability_and_source</x:v>
      </x:c>
      <x:c r="D201" s="35" t="str">
        <x:v>默认场景</x:v>
      </x:c>
      <x:c r="E201" s="26" t="str">
        <x:v>通过</x:v>
      </x:c>
      <x:c r="F201" s="32" t="n">
        <x:v>0.002</x:v>
      </x:c>
      <x:c r="G201" s="35" t="str">
        <x:v>验证 Tool Router 根据能力与数据源选择稳定工具名称。</x:v>
      </x:c>
      <x:c r="H201" s="35" t="str"/>
    </x:row>
    <x:row r="202" ht="79.19999694824219" hidden="0" customHeight="1">
      <x:c r="A202" s="26" t="n">
        <x:v>198</x:v>
      </x:c>
      <x:c r="B202" s="35" t="str">
        <x:v>tests/test_tool_layer.py</x:v>
      </x:c>
      <x:c r="C202" s="35" t="str">
        <x:v>test_arxiv_adapter_preserves_native_search_behavior</x:v>
      </x:c>
      <x:c r="D202" s="35" t="str">
        <x:v>默认场景</x:v>
      </x:c>
      <x:c r="E202" s="26" t="str">
        <x:v>通过</x:v>
      </x:c>
      <x:c r="F202" s="32" t="n">
        <x:v>0.002</x:v>
      </x:c>
      <x:c r="G202" s="35" t="str">
        <x:v>验证 arXiv Adapter 保留现有查询词、数量和论文字段。</x:v>
      </x:c>
      <x:c r="H202" s="35" t="str"/>
    </x:row>
    <x:row r="203" ht="132" hidden="0" customHeight="1">
      <x:c r="A203" s="26" t="n">
        <x:v>199</x:v>
      </x:c>
      <x:c r="B203" s="35" t="str">
        <x:v>tests/test_tool_layer.py</x:v>
      </x:c>
      <x:c r="C203" s="35" t="str">
        <x:v>test_arxiv_lookup_adapter_uses_native_identity_contract</x:v>
      </x:c>
      <x:c r="D203" s="35" t="str">
        <x:v>默认场景</x:v>
      </x:c>
      <x:c r="E203" s="26" t="str">
        <x:v>通过</x:v>
      </x:c>
      <x:c r="F203" s="32" t="n">
        <x:v>0.001</x:v>
      </x:c>
      <x:c r="G203" s="35" t="str">
        <x:v>验证工具层可以按 arXiv 原生 ID 查询单篇规范元数据，而不需要退化为关键词搜索。</x:v>
      </x:c>
      <x:c r="H203" s="35" t="str"/>
    </x:row>
    <x:row r="204" ht="145.1999969482422" hidden="0" customHeight="1">
      <x:c r="A204" s="26" t="n">
        <x:v>200</x:v>
      </x:c>
      <x:c r="B204" s="35" t="str">
        <x:v>tests/test_tool_layer.py</x:v>
      </x:c>
      <x:c r="C204" s="35" t="str">
        <x:v>test_crossref_client_normalizes_doi_metadata</x:v>
      </x:c>
      <x:c r="D204" s="35" t="str">
        <x:v>默认场景</x:v>
      </x:c>
      <x:c r="E204" s="26" t="str">
        <x:v>通过</x:v>
      </x:c>
      <x:c r="F204" s="32" t="n">
        <x:v>0.002</x:v>
      </x:c>
      <x:c r="G204" s="35" t="str">
        <x:v>验证 Crossref 客户端正确编码 DOI，并把标题、作者、年份和链接归一为统一论文结构。</x:v>
      </x:c>
      <x:c r="H204" s="35" t="str"/>
    </x:row>
    <x:row r="205" ht="145.1999969482422" hidden="0" customHeight="1">
      <x:c r="A205" s="26" t="n">
        <x:v>201</x:v>
      </x:c>
      <x:c r="B205" s="35" t="str">
        <x:v>tests/test_tool_layer.py</x:v>
      </x:c>
      <x:c r="C205" s="35" t="str">
        <x:v>test_crossref_lookup_adapter_uses_shared_lookup_contract</x:v>
      </x:c>
      <x:c r="D205" s="35" t="str">
        <x:v>默认场景</x:v>
      </x:c>
      <x:c r="E205" s="26" t="str">
        <x:v>通过</x:v>
      </x:c>
      <x:c r="F205" s="32" t="n">
        <x:v>0.001</x:v>
      </x:c>
      <x:c r="G205" s="35" t="str">
        <x:v>验证 Crossref 与 arXiv 共用 paper.lookup 工具能力和 Pydantic 输出契约。</x:v>
      </x:c>
      <x:c r="H205" s="35" t="str"/>
    </x:row>
    <x:row r="206" ht="132" hidden="0" customHeight="1">
      <x:c r="A206" s="26" t="n">
        <x:v>202</x:v>
      </x:c>
      <x:c r="B206" s="35" t="str">
        <x:v>tests/test_tool_layer.py</x:v>
      </x:c>
      <x:c r="C206" s="35" t="str">
        <x:v>test_semantic_scholar_client_normalizes_doi_metadata</x:v>
      </x:c>
      <x:c r="D206" s="35" t="str">
        <x:v>默认场景</x:v>
      </x:c>
      <x:c r="E206" s="26" t="str">
        <x:v>通过</x:v>
      </x:c>
      <x:c r="F206" s="32" t="n">
        <x:v>0.002</x:v>
      </x:c>
      <x:c r="G206" s="35" t="str">
        <x:v>验证 Semantic Scholar DOI 精确查询、API Key 请求头和统一论文字段映射。</x:v>
      </x:c>
      <x:c r="H206" s="35" t="str"/>
    </x:row>
    <x:row r="207" ht="118.80000305175781" hidden="0" customHeight="1">
      <x:c r="A207" s="26" t="n">
        <x:v>203</x:v>
      </x:c>
      <x:c r="B207" s="35" t="str">
        <x:v>tests/test_tool_layer.py</x:v>
      </x:c>
      <x:c r="C207" s="35" t="str">
        <x:v>test_semantic_scholar_adapter_uses_shared_lookup_contract</x:v>
      </x:c>
      <x:c r="D207" s="35" t="str">
        <x:v>默认场景</x:v>
      </x:c>
      <x:c r="E207" s="26" t="str">
        <x:v>通过</x:v>
      </x:c>
      <x:c r="F207" s="32" t="n">
        <x:v>0.001</x:v>
      </x:c>
      <x:c r="G207" s="35" t="str">
        <x:v>验证 Semantic Scholar 与 Crossref 共用 paper.lookup 工具契约。</x:v>
      </x:c>
      <x:c r="H207" s="35" t="str"/>
    </x:row>
    <x:row r="208" ht="92.4000015258789" hidden="0" customHeight="1">
      <x:c r="A208" s="26" t="n">
        <x:v>204</x:v>
      </x:c>
      <x:c r="B208" s="35" t="str">
        <x:v>tests/test_tool_layer.py</x:v>
      </x:c>
      <x:c r="C208" s="35" t="str">
        <x:v>test_semantic_scholar_client_maps_rate_limit_to_tool_error</x:v>
      </x:c>
      <x:c r="D208" s="35" t="str">
        <x:v>默认场景</x:v>
      </x:c>
      <x:c r="E208" s="26" t="str">
        <x:v>通过</x:v>
      </x:c>
      <x:c r="F208" s="32" t="n">
        <x:v>0.001</x:v>
      </x:c>
      <x:c r="G208" s="35" t="str">
        <x:v>验证 Semantic Scholar HTTP 429 被映射为 RATE_LIMITED。</x:v>
      </x:c>
      <x:c r="H208" s="35" t="str"/>
    </x:row>
    <x:row r="209" ht="105.5999984741211" hidden="0" customHeight="1">
      <x:c r="A209" s="27" t="n">
        <x:v>205</x:v>
      </x:c>
      <x:c r="B209" s="36" t="str">
        <x:v>tests/test_tool_layer.py</x:v>
      </x:c>
      <x:c r="C209" s="36" t="str">
        <x:v>test_metrics_reports_tool_execution_success_failure_and_latency</x:v>
      </x:c>
      <x:c r="D209" s="36" t="str">
        <x:v>默认场景</x:v>
      </x:c>
      <x:c r="E209" s="27" t="str">
        <x:v>通过</x:v>
      </x:c>
      <x:c r="F209" s="33" t="n">
        <x:v>0.004</x:v>
      </x:c>
      <x:c r="G209" s="36" t="str">
        <x:v>验证 Metrics 汇总每次工具调用的成功、失败、耗时和错误明细。</x:v>
      </x:c>
      <x:c r="H209" s="36" t="str"/>
    </x:row>
  </x:sheetData>
  <x:mergeCells>
    <x:mergeCell ref="A1:H1"/>
    <x:mergeCell ref="A2:H2"/>
  </x:mergeCells>
  <x:conditionalFormatting sqref="E5:E209">
    <x:cfRule type="containsText" dxfId="0" priority="1" operator="containsText" text="通过"/>
    <x:cfRule type="containsText" dxfId="1" priority="2" operator="containsText" text="失败"/>
    <x:cfRule type="containsText" dxfId="2" priority="3" operator="containsText" text="错误"/>
    <x:cfRule type="containsText" dxfId="3" priority="4" operator="containsText" text="跳过"/>
  </x:conditionalFormatting>
  <x:pageMargins left="0.7" right="0.7" top="0.75" bottom="0.75" header="0.3" footer="0.3"/>
  <x:tableParts count="1">
    <x:tablePart xmlns:r="http://schemas.openxmlformats.org/officeDocument/2006/relationships" r:id="R886a297fc97f42e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25" hidden="0" customWidth="1"/>
    <x:col min="3" max="3" width="44" hidden="0" customWidth="1"/>
    <x:col min="4" max="4" width="22" hidden="0" customWidth="1"/>
    <x:col min="5" max="5" width="52" hidden="0" customWidth="1"/>
    <x:col min="6" max="6" width="52" hidden="0" customWidth="1"/>
    <x:col min="7" max="7" width="52" hidden="0" customWidth="1"/>
    <x:col min="8" max="8" width="11" hidden="0" customWidth="1"/>
    <x:col min="9" max="9" width="13" hidden="0" customWidth="1"/>
    <x:col min="10" max="10" width="12" hidden="0" customWidth="1"/>
  </x:cols>
  <x:sheetData>
    <x:row r="1" ht="30" customHeight="1">
      <x:c r="A1" s="3" t="str">
        <x:v>测试用例作用与结果含义</x:v>
      </x:c>
      <x:c r="B1" s="3"/>
      <x:c r="C1" s="3"/>
      <x:c r="D1" s="3"/>
      <x:c r="E1" s="3"/>
      <x:c r="F1" s="3"/>
      <x:c r="G1" s="3"/>
      <x:c r="H1" s="3"/>
      <x:c r="I1" s="3"/>
      <x:c r="J1" s="3"/>
    </x:row>
    <x:row r="2">
      <x:c r="A2" s="38" t="str">
        <x:v>新增测试必须先在 scripts/test_case_catalog.py 登记；缺少登记会导致测试失败。</x:v>
      </x:c>
      <x:c r="B2" s="38"/>
      <x:c r="C2" s="38"/>
      <x:c r="D2" s="38"/>
      <x:c r="E2" s="38"/>
      <x:c r="F2" s="38"/>
      <x:c r="G2" s="38"/>
      <x:c r="H2" s="38"/>
      <x:c r="I2" s="38"/>
      <x:c r="J2" s="38"/>
    </x:row>
    <x:row r="4">
      <x:c r="A4" s="16" t="str">
        <x:v>序号</x:v>
      </x:c>
      <x:c r="B4" s="17" t="str">
        <x:v>测试文件</x:v>
      </x:c>
      <x:c r="C4" s="17" t="str">
        <x:v>测试用例</x:v>
      </x:c>
      <x:c r="D4" s="17" t="str">
        <x:v>参数场景</x:v>
      </x:c>
      <x:c r="E4" s="17" t="str">
        <x:v>测试作用</x:v>
      </x:c>
      <x:c r="F4" s="17" t="str">
        <x:v>通过代表</x:v>
      </x:c>
      <x:c r="G4" s="17" t="str">
        <x:v>失败代表</x:v>
      </x:c>
      <x:c r="H4" s="17" t="str">
        <x:v>本次结果</x:v>
      </x:c>
      <x:c r="I4" s="17" t="str">
        <x:v>耗时（秒）</x:v>
      </x:c>
      <x:c r="J4" s="18" t="str">
        <x:v>说明登记</x:v>
      </x:c>
    </x:row>
    <x:row r="5" ht="145.1999969482422" hidden="0" customHeight="1">
      <x:c r="A5" s="39" t="n">
        <x:v>1</x:v>
      </x:c>
      <x:c r="B5" s="48" t="str">
        <x:v>tests/test_benchmark.py</x:v>
      </x:c>
      <x:c r="C5" s="48" t="str">
        <x:v>test_baseline_and_candidate_cover_the_same_modules</x:v>
      </x:c>
      <x:c r="D5" s="48" t="str">
        <x:v>默认场景</x:v>
      </x:c>
      <x:c r="E5" s="48" t="str">
        <x:v>确认旧基线与当前候选实现使用完全相同的能力模块，保证能力对比口径一致。</x:v>
      </x:c>
      <x:c r="F5" s="48" t="str">
        <x:v>两组结果都覆盖意图路由、查询规划、结果合并、重试路由、LLM 用量和工具执行六个模块。</x:v>
      </x:c>
      <x:c r="G5" s="48" t="str">
        <x:v>基线与候选的测试范围不同，能力提升数据不能直接比较。</x:v>
      </x:c>
      <x:c r="H5" s="51" t="str">
        <x:v>通过</x:v>
      </x:c>
      <x:c r="I5" s="54" t="n">
        <x:v>0.009</x:v>
      </x:c>
      <x:c r="J5" s="57" t="str">
        <x:v>已登记</x:v>
      </x:c>
    </x:row>
    <x:row r="6" ht="118.80000305175781" hidden="0" customHeight="1">
      <x:c r="A6" s="42" t="n">
        <x:v>2</x:v>
      </x:c>
      <x:c r="B6" s="49" t="str">
        <x:v>tests/test_benchmark.py</x:v>
      </x:c>
      <x:c r="C6" s="49" t="str">
        <x:v>test_candidate_improves_deterministic_router_and_merger_accuracy</x:v>
      </x:c>
      <x:c r="D6" s="49" t="str">
        <x:v>默认场景</x:v>
      </x:c>
      <x:c r="E6" s="49" t="str">
        <x:v>确认当前实现相对旧基线确实提升关键确定性能力的准确率。</x:v>
      </x:c>
      <x:c r="F6" s="49" t="str">
        <x:v>意图路由、结果去重、重试路由和 LLM 用量追踪准确率均高于基线。</x:v>
      </x:c>
      <x:c r="G6" s="49" t="str">
        <x:v>至少一个关键模块没有产生预期提升，需检查实现或基准案例。</x:v>
      </x:c>
      <x:c r="H6" s="52" t="str">
        <x:v>通过</x:v>
      </x:c>
      <x:c r="I6" s="55" t="n">
        <x:v>0.005</x:v>
      </x:c>
      <x:c r="J6" s="58" t="str">
        <x:v>已登记</x:v>
      </x:c>
    </x:row>
    <x:row r="7" ht="118.80000305175781" hidden="0" customHeight="1">
      <x:c r="A7" s="42" t="n">
        <x:v>3</x:v>
      </x:c>
      <x:c r="B7" s="49" t="str">
        <x:v>tests/test_benchmark.py</x:v>
      </x:c>
      <x:c r="C7" s="49" t="str">
        <x:v>test_query_plan_benchmark_avoids_unnecessary_simple_queries</x:v>
      </x:c>
      <x:c r="D7" s="49" t="str">
        <x:v>默认场景</x:v>
      </x:c>
      <x:c r="E7" s="49" t="str">
        <x:v>验证动态查询规划不会为简单问题创建多余检索词，同时保持规划准确。</x:v>
      </x:c>
      <x:c r="F7" s="49" t="str">
        <x:v>简单问题无多余查询、规划准确率为 100%，总规划查询数符合固定案例预期。</x:v>
      </x:c>
      <x:c r="G7" s="49" t="str">
        <x:v>简单问题可能浪费检索与 Token，或复杂度分类/查询数量发生回归。</x:v>
      </x:c>
      <x:c r="H7" s="52" t="str">
        <x:v>通过</x:v>
      </x:c>
      <x:c r="I7" s="55" t="n">
        <x:v>0.004</x:v>
      </x:c>
      <x:c r="J7" s="58" t="str">
        <x:v>已登记</x:v>
      </x:c>
    </x:row>
    <x:row r="8" ht="105.5999984741211" hidden="0" customHeight="1">
      <x:c r="A8" s="42" t="n">
        <x:v>4</x:v>
      </x:c>
      <x:c r="B8" s="49" t="str">
        <x:v>tests/test_benchmark.py</x:v>
      </x:c>
      <x:c r="C8" s="49" t="str">
        <x:v>test_comparison_reports_baseline_candidate_and_delta</x:v>
      </x:c>
      <x:c r="D8" s="49" t="str">
        <x:v>默认场景</x:v>
      </x:c>
      <x:c r="E8" s="49" t="str">
        <x:v>验证基准报告能同时给出基线值、候选值和差值。</x:v>
      </x:c>
      <x:c r="F8" s="49" t="str">
        <x:v>意图路由准确率正确记录为 40%、100% 和提升 60 个百分点。</x:v>
      </x:c>
      <x:c r="G8" s="49" t="str">
        <x:v>报告的版本对比计算或字段结构不正确。</x:v>
      </x:c>
      <x:c r="H8" s="52" t="str">
        <x:v>通过</x:v>
      </x:c>
      <x:c r="I8" s="55" t="n">
        <x:v>0.006</x:v>
      </x:c>
      <x:c r="J8" s="58" t="str">
        <x:v>已登记</x:v>
      </x:c>
    </x:row>
    <x:row r="9" ht="105.5999984741211" hidden="0" customHeight="1">
      <x:c r="A9" s="42" t="n">
        <x:v>5</x:v>
      </x:c>
      <x:c r="B9" s="49" t="str">
        <x:v>tests/test_benchmark.py</x:v>
      </x:c>
      <x:c r="C9" s="49" t="str">
        <x:v>test_llm_usage_benchmark_tracks_success_failure_and_tokens</x:v>
      </x:c>
      <x:c r="D9" s="49" t="str">
        <x:v>默认场景</x:v>
      </x:c>
      <x:c r="E9" s="49" t="str">
        <x:v>验证离线基准能准确统计成功/失败调用以及输入、输出和总 Token。</x:v>
      </x:c>
      <x:c r="F9" s="49" t="str">
        <x:v>三次调用、一次失败和 120/45/165 Token 均被准确记录。</x:v>
      </x:c>
      <x:c r="G9" s="49" t="str">
        <x:v>LLM 成本或失败率统计可能漏记、重复计算或口径错误。</x:v>
      </x:c>
      <x:c r="H9" s="52" t="str">
        <x:v>通过</x:v>
      </x:c>
      <x:c r="I9" s="55" t="n">
        <x:v>0.006</x:v>
      </x:c>
      <x:c r="J9" s="58" t="str">
        <x:v>已登记</x:v>
      </x:c>
    </x:row>
    <x:row r="10" ht="145.1999969482422" hidden="0" customHeight="1">
      <x:c r="A10" s="42" t="n">
        <x:v>6</x:v>
      </x:c>
      <x:c r="B10" s="49" t="str">
        <x:v>tests/test_benchmark.py</x:v>
      </x:c>
      <x:c r="C10" s="49" t="str">
        <x:v>test_tool_execution_benchmark_measures_contracts_errors_and_recovery</x:v>
      </x:c>
      <x:c r="D10" s="49" t="str">
        <x:v>默认场景</x:v>
      </x:c>
      <x:c r="E10" s="49" t="str">
        <x:v>验证离线基准能够量化统一 Tool 层的协议、错误和恢复能力。</x:v>
      </x:c>
      <x:c r="F10" s="49" t="str">
        <x:v>候选实现达到 100%，能够拦截权限、输入和输出错误、结构化四类失败并恢复一次临时错误。</x:v>
      </x:c>
      <x:c r="G10" s="49" t="str">
        <x:v>Tool 层能力提升没有可重复数据支持，或错误门控、重试行为出现回归。</x:v>
      </x:c>
      <x:c r="H10" s="52" t="str">
        <x:v>通过</x:v>
      </x:c>
      <x:c r="I10" s="55" t="n">
        <x:v>0.005</x:v>
      </x:c>
      <x:c r="J10" s="58" t="str">
        <x:v>已登记</x:v>
      </x:c>
    </x:row>
    <x:row r="11" ht="118.80000305175781" hidden="0" customHeight="1">
      <x:c r="A11" s="42" t="n">
        <x:v>7</x:v>
      </x:c>
      <x:c r="B11" s="49" t="str">
        <x:v>tests/test_benchmark.py</x:v>
      </x:c>
      <x:c r="C11" s="49" t="str">
        <x:v>test_multi_source_benchmark_measures_coverage_deduplication_and_recovery</x:v>
      </x:c>
      <x:c r="D11" s="49" t="str">
        <x:v>默认场景</x:v>
      </x:c>
      <x:c r="E11" s="49" t="str">
        <x:v>验证离线 Benchmark 对比单源基线与多源候选的覆盖、去重和故障恢复。</x:v>
      </x:c>
      <x:c r="F11" s="49" t="str">
        <x:v>候选三类场景达到 100%，调用两个来源、无残留重复并恢复一次局部失败。</x:v>
      </x:c>
      <x:c r="G11" s="49" t="str">
        <x:v>多源能力可能只有功能测试，没有可比较的质量与可靠性提升数据。</x:v>
      </x:c>
      <x:c r="H11" s="52" t="str">
        <x:v>通过</x:v>
      </x:c>
      <x:c r="I11" s="55" t="n">
        <x:v>0.006</x:v>
      </x:c>
      <x:c r="J11" s="58" t="str">
        <x:v>已登记</x:v>
      </x:c>
    </x:row>
    <x:row r="12" ht="105.5999984741211" hidden="0" customHeight="1">
      <x:c r="A12" s="42" t="n">
        <x:v>8</x:v>
      </x:c>
      <x:c r="B12" s="49" t="str">
        <x:v>tests/test_benchmark.py</x:v>
      </x:c>
      <x:c r="C12" s="49" t="str">
        <x:v>test_benchmark_report_can_be_written_as_utf8_json</x:v>
      </x:c>
      <x:c r="D12" s="49" t="str">
        <x:v>默认场景</x:v>
      </x:c>
      <x:c r="E12" s="49" t="str">
        <x:v>验证完整能力基准报告可以用 UTF-8 JSON 保存并重新读取。</x:v>
      </x:c>
      <x:c r="F12" s="49" t="str">
        <x:v>报告文件可读取，版本、运行模式和案例数等关键字段保持正确。</x:v>
      </x:c>
      <x:c r="G12" s="49" t="str">
        <x:v>基准报告无法可靠落盘，或中文/结构化字段可能损坏。</x:v>
      </x:c>
      <x:c r="H12" s="52" t="str">
        <x:v>通过</x:v>
      </x:c>
      <x:c r="I12" s="55" t="n">
        <x:v>0.185</x:v>
      </x:c>
      <x:c r="J12" s="58" t="str">
        <x:v>已登记</x:v>
      </x:c>
    </x:row>
    <x:row r="13" ht="118.80000305175781" hidden="0" customHeight="1">
      <x:c r="A13" s="42" t="n">
        <x:v>9</x:v>
      </x:c>
      <x:c r="B13" s="49" t="str">
        <x:v>tests/test_benchmark.py</x:v>
      </x:c>
      <x:c r="C13" s="49" t="str">
        <x:v>test_unknown_profile_is_rejected</x:v>
      </x:c>
      <x:c r="D13" s="49" t="str">
        <x:v>默认场景</x:v>
      </x:c>
      <x:c r="E13" s="49" t="str">
        <x:v>验证基准工具拒绝不存在的运行配置名称。</x:v>
      </x:c>
      <x:c r="F13" s="49" t="str">
        <x:v>传入未知 profile 时明确抛出 ValueError，而不是静默使用错误配置。</x:v>
      </x:c>
      <x:c r="G13" s="49" t="str">
        <x:v>错误配置可能被接受，导致产生来源不明或不可比较的基准数据。</x:v>
      </x:c>
      <x:c r="H13" s="52" t="str">
        <x:v>通过</x:v>
      </x:c>
      <x:c r="I13" s="55" t="n">
        <x:v>0.001</x:v>
      </x:c>
      <x:c r="J13" s="58" t="str">
        <x:v>已登记</x:v>
      </x:c>
    </x:row>
    <x:row r="14" ht="105.5999984741211" hidden="0" customHeight="1">
      <x:c r="A14" s="42" t="n">
        <x:v>10</x:v>
      </x:c>
      <x:c r="B14" s="49" t="str">
        <x:v>tests/test_canonical_metadata_eval.py</x:v>
      </x:c>
      <x:c r="C14" s="49" t="str">
        <x:v>test_collect_claimed_arxiv_ids_uses_secondary_provider_claims</x:v>
      </x:c>
      <x:c r="D14" s="49" t="str">
        <x:v>默认场景</x:v>
      </x:c>
      <x:c r="E14" s="49" t="str">
        <x:v>验证候选评测能从 OpenAlex 等二级来源的 DOI 中提取待验证 arXiv 身份。</x:v>
      </x:c>
      <x:c r="F14" s="49" t="str">
        <x:v>不同格式 DOI 被归一为稳定 arXiv ID 清单。</x:v>
      </x:c>
      <x:c r="G14" s="49" t="str">
        <x:v>待验证身份可能提取不全，导致规范来源评测覆盖率虚高。</x:v>
      </x:c>
      <x:c r="H14" s="52" t="str">
        <x:v>通过</x:v>
      </x:c>
      <x:c r="I14" s="55" t="n">
        <x:v>0.034</x:v>
      </x:c>
      <x:c r="J14" s="58" t="str">
        <x:v>已登记</x:v>
      </x:c>
    </x:row>
    <x:row r="15" ht="118.80000305175781" hidden="0" customHeight="1">
      <x:c r="A15" s="42" t="n">
        <x:v>11</x:v>
      </x:c>
      <x:c r="B15" s="49" t="str">
        <x:v>tests/test_canonical_metadata_eval.py</x:v>
      </x:c>
      <x:c r="C15" s="49" t="str">
        <x:v>test_collect_claimed_ordinary_dois_excludes_arxiv_doi</x:v>
      </x:c>
      <x:c r="D15" s="49" t="str">
        <x:v>默认场景</x:v>
      </x:c>
      <x:c r="E15" s="49" t="str">
        <x:v>验证联合重放只把普通 DOI 交给 Crossref，排除 arXiv DOI。</x:v>
      </x:c>
      <x:c r="F15" s="49" t="str">
        <x:v>普通 DOI 被归一去重，arXiv DOI 继续由原生 arXiv authority 处理。</x:v>
      </x:c>
      <x:c r="G15" s="49" t="str">
        <x:v>同一身份可能被重复查询不同 provider，增加成本并产生冲突结论。</x:v>
      </x:c>
      <x:c r="H15" s="52" t="str">
        <x:v>通过</x:v>
      </x:c>
      <x:c r="I15" s="55" t="n">
        <x:v>0.015</x:v>
      </x:c>
      <x:c r="J15" s="58" t="str">
        <x:v>已登记</x:v>
      </x:c>
    </x:row>
    <x:row r="16" ht="105.5999984741211" hidden="0" customHeight="1">
      <x:c r="A16" s="42" t="n">
        <x:v>12</x:v>
      </x:c>
      <x:c r="B16" s="49" t="str">
        <x:v>tests/test_canonical_metadata_eval.py</x:v>
      </x:c>
      <x:c r="C16" s="49" t="str">
        <x:v>test_canonical_fetcher_caches_successful_lookup</x:v>
      </x:c>
      <x:c r="D16" s="49" t="str">
        <x:v>默认场景</x:v>
      </x:c>
      <x:c r="E16" s="49" t="str">
        <x:v>验证成功取得的规范元数据会缓存，快照重放不会重复消耗网络请求。</x:v>
      </x:c>
      <x:c r="F16" s="49" t="str">
        <x:v>相同 ID 只实际请求一次，第二次读取缓存并记录命中。</x:v>
      </x:c>
      <x:c r="G16" s="49" t="str">
        <x:v>跨快照评测可能重复请求同一论文，增加耗时和限流风险。</x:v>
      </x:c>
      <x:c r="H16" s="52" t="str">
        <x:v>通过</x:v>
      </x:c>
      <x:c r="I16" s="55" t="n">
        <x:v>0.031</x:v>
      </x:c>
      <x:c r="J16" s="58" t="str">
        <x:v>已登记</x:v>
      </x:c>
    </x:row>
    <x:row r="17" ht="118.80000305175781" hidden="0" customHeight="1">
      <x:c r="A17" s="42" t="n">
        <x:v>13</x:v>
      </x:c>
      <x:c r="B17" s="49" t="str">
        <x:v>tests/test_canonical_metadata_eval.py</x:v>
      </x:c>
      <x:c r="C17" s="49" t="str">
        <x:v>test_canonical_fetcher_does_not_reuse_failed_lookup</x:v>
      </x:c>
      <x:c r="D17" s="49" t="str">
        <x:v>默认场景</x:v>
      </x:c>
      <x:c r="E17" s="49" t="str">
        <x:v>验证 SSL、超时等临时失败不会被当成永久缓存结果。</x:v>
      </x:c>
      <x:c r="F17" s="49" t="str">
        <x:v>已有失败记录会触发重新查询，不增加成功缓存命中数。</x:v>
      </x:c>
      <x:c r="G17" s="49" t="str">
        <x:v>一次短暂网络失败可能永久污染评测，错误地把未验证身份当作查无记录。</x:v>
      </x:c>
      <x:c r="H17" s="52" t="str">
        <x:v>通过</x:v>
      </x:c>
      <x:c r="I17" s="55" t="n">
        <x:v>0.034</x:v>
      </x:c>
      <x:c r="J17" s="58" t="str">
        <x:v>已登记</x:v>
      </x:c>
    </x:row>
    <x:row r="18" ht="105.5999984741211" hidden="0" customHeight="1">
      <x:c r="A18" s="42" t="n">
        <x:v>14</x:v>
      </x:c>
      <x:c r="B18" s="49" t="str">
        <x:v>tests/test_canonical_metadata_eval.py</x:v>
      </x:c>
      <x:c r="C18" s="49" t="str">
        <x:v>test_canonical_doi_fetcher_caches_success_and_not_found</x:v>
      </x:c>
      <x:c r="D18" s="49" t="str">
        <x:v>默认场景</x:v>
      </x:c>
      <x:c r="E18" s="49" t="str">
        <x:v>验证 Crossref 成功记录和明确查无均可重复使用。</x:v>
      </x:c>
      <x:c r="F18" s="49" t="str">
        <x:v>相同 DOI 第二次读取缓存，查无仍保持明确 NOT_FOUND 状态。</x:v>
      </x:c>
      <x:c r="G18" s="49" t="str">
        <x:v>三快照重放可能重复产生外部请求，增加耗时和限流风险。</x:v>
      </x:c>
      <x:c r="H18" s="52" t="str">
        <x:v>通过</x:v>
      </x:c>
      <x:c r="I18" s="55" t="n">
        <x:v>0.065</x:v>
      </x:c>
      <x:c r="J18" s="58" t="str">
        <x:v>已登记</x:v>
      </x:c>
    </x:row>
    <x:row r="19" ht="79.19999694824219" hidden="0" customHeight="1">
      <x:c r="A19" s="42" t="n">
        <x:v>15</x:v>
      </x:c>
      <x:c r="B19" s="49" t="str">
        <x:v>tests/test_canonical_metadata_eval.py</x:v>
      </x:c>
      <x:c r="C19" s="49" t="str">
        <x:v>test_canonical_doi_fetcher_does_not_cache_failure</x:v>
      </x:c>
      <x:c r="D19" s="49" t="str">
        <x:v>默认场景</x:v>
      </x:c>
      <x:c r="E19" s="49" t="str">
        <x:v>验证 DOI authority 网络失败不会写入成功缓存。</x:v>
      </x:c>
      <x:c r="F19" s="49" t="str">
        <x:v>同一 DOI 再次调用时会重试，失败计数准确累积。</x:v>
      </x:c>
      <x:c r="G19" s="49" t="str">
        <x:v>一次短暂故障可能被永久当成规范查无。</x:v>
      </x:c>
      <x:c r="H19" s="52" t="str">
        <x:v>通过</x:v>
      </x:c>
      <x:c r="I19" s="55" t="n">
        <x:v>0.01</x:v>
      </x:c>
      <x:c r="J19" s="58" t="str">
        <x:v>已登记</x:v>
      </x:c>
    </x:row>
    <x:row r="20" ht="105.5999984741211" hidden="0" customHeight="1">
      <x:c r="A20" s="42" t="n">
        <x:v>16</x:v>
      </x:c>
      <x:c r="B20" s="49" t="str">
        <x:v>tests/test_canonical_metadata_eval.py</x:v>
      </x:c>
      <x:c r="C20" s="49" t="str">
        <x:v>test_collect_quarantined_arxiv_ids_limits_authority_experiment</x:v>
      </x:c>
      <x:c r="D20" s="49" t="str">
        <x:v>默认场景</x:v>
      </x:c>
      <x:c r="E20" s="49" t="str">
        <x:v>验证本轮候选实验只查询 v2 实际隔离过的身份，控制外部请求成本。</x:v>
      </x:c>
      <x:c r="F20" s="49" t="str">
        <x:v>两份快照的隔离记录被合并、去重为最小验证集合。</x:v>
      </x:c>
      <x:c r="G20" s="49" t="str">
        <x:v>评测可能无差别查询所有结果，增加 API 调用且偏离误伤复核目标。</x:v>
      </x:c>
      <x:c r="H20" s="52" t="str">
        <x:v>通过</x:v>
      </x:c>
      <x:c r="I20" s="55" t="n">
        <x:v>0.037</x:v>
      </x:c>
      <x:c r="J20" s="58" t="str">
        <x:v>已登记</x:v>
      </x:c>
    </x:row>
    <x:row r="21" ht="145.1999969482422" hidden="0" customHeight="1">
      <x:c r="A21" s="42" t="n">
        <x:v>17</x:v>
      </x:c>
      <x:c r="B21" s="49" t="str">
        <x:v>tests/test_canonical_metadata_eval.py</x:v>
      </x:c>
      <x:c r="C21" s="49" t="str">
        <x:v>test_promotion_requires_three_complete_non_regressing_snapshots</x:v>
      </x:c>
      <x:c r="D21" s="49" t="str">
        <x:v>默认场景</x:v>
      </x:c>
      <x:c r="E21" s="49" t="str">
        <x:v>验证规范元数据候选只有在三份完整独立快照、权威覆盖完整且逐题无回归时才通过晋升门槛。</x:v>
      </x:c>
      <x:c r="F21" s="49" t="str">
        <x:v>三份候选质量均不低于基线时 promotion_ready 为真，并记录零逐题回归。</x:v>
      </x:c>
      <x:c r="G21" s="49" t="str">
        <x:v>候选可能凭单次偶然提升或不完整证据进入默认流程，造成上线后质量漂移。</x:v>
      </x:c>
      <x:c r="H21" s="52" t="str">
        <x:v>通过</x:v>
      </x:c>
      <x:c r="I21" s="55" t="n">
        <x:v>0.124</x:v>
      </x:c>
      <x:c r="J21" s="58" t="str">
        <x:v>已登记</x:v>
      </x:c>
    </x:row>
    <x:row r="22" ht="118.80000305175781" hidden="0" customHeight="1">
      <x:c r="A22" s="42" t="n">
        <x:v>18</x:v>
      </x:c>
      <x:c r="B22" s="49" t="str">
        <x:v>tests/test_canonical_metadata_eval.py</x:v>
      </x:c>
      <x:c r="C22" s="49" t="str">
        <x:v>test_doi_incremental_comparison_does_not_claim_unchanged_quality</x:v>
      </x:c>
      <x:c r="D22" s="49" t="str">
        <x:v>默认场景</x:v>
      </x:c>
      <x:c r="E22" s="49" t="str">
        <x:v>验证 Crossref 相对仅 arXiv canonical 没有指标变化时不得宣称质量提升。</x:v>
      </x:c>
      <x:c r="F22" s="49" t="str">
        <x:v>质量提升标记为假，排名变化和逐题回归均为零。</x:v>
      </x:c>
      <x:c r="G22" s="49" t="str">
        <x:v>已有 arXiv 带来的提升可能被错误归因给普通 DOI 校验。</x:v>
      </x:c>
      <x:c r="H22" s="52" t="str">
        <x:v>通过</x:v>
      </x:c>
      <x:c r="I22" s="55" t="n">
        <x:v>0.003</x:v>
      </x:c>
      <x:c r="J22" s="58" t="str">
        <x:v>已登记</x:v>
      </x:c>
    </x:row>
    <x:row r="23" ht="118.80000305175781" hidden="0" customHeight="1">
      <x:c r="A23" s="42" t="n">
        <x:v>19</x:v>
      </x:c>
      <x:c r="B23" s="49" t="str">
        <x:v>tests/test_crossref_authority_eval.py</x:v>
      </x:c>
      <x:c r="C23" s="49" t="str">
        <x:v>test_collects_only_ordinary_dois_stable_across_all_snapshots</x:v>
      </x:c>
      <x:c r="D23" s="49" t="str">
        <x:v>默认场景</x:v>
      </x:c>
      <x:c r="E23" s="49" t="str">
        <x:v>验证普通 DOI 候选评测只使用所有独立快照都出现的非 arXiv DOI。</x:v>
      </x:c>
      <x:c r="F23" s="49" t="str">
        <x:v>不稳定记录和 arXiv DOI 被排除，保留可复现的普通出版 DOI。</x:v>
      </x:c>
      <x:c r="G23" s="49" t="str">
        <x:v>评测可能混入快照漂移或重复验证 arXiv 身份，导致候选覆盖结论失真。</x:v>
      </x:c>
      <x:c r="H23" s="52" t="str">
        <x:v>通过</x:v>
      </x:c>
      <x:c r="I23" s="55" t="n">
        <x:v>0.034</x:v>
      </x:c>
      <x:c r="J23" s="58" t="str">
        <x:v>已登记</x:v>
      </x:c>
    </x:row>
    <x:row r="24" ht="118.80000305175781" hidden="0" customHeight="1">
      <x:c r="A24" s="42" t="n">
        <x:v>20</x:v>
      </x:c>
      <x:c r="B24" s="49" t="str">
        <x:v>tests/test_crossref_authority_eval.py</x:v>
      </x:c>
      <x:c r="C24" s="49" t="str">
        <x:v>test_crossref_eval_separates_match_conflict_not_found_and_failure</x:v>
      </x:c>
      <x:c r="D24" s="49" t="str">
        <x:v>默认场景</x:v>
      </x:c>
      <x:c r="E24" s="49" t="str">
        <x:v>验证 Crossref 评测严格区分标题匹配、标题冲突、规范查无和网络失败。</x:v>
      </x:c>
      <x:c r="F24" s="49" t="str">
        <x:v>四类状态分别计数，失败不会被伪装成查无或元数据冲突。</x:v>
      </x:c>
      <x:c r="G24" s="49" t="str">
        <x:v>临时网络故障可能错误触发论文隔离，污染 authority provider 选型指标。</x:v>
      </x:c>
      <x:c r="H24" s="52" t="str">
        <x:v>通过</x:v>
      </x:c>
      <x:c r="I24" s="55" t="n">
        <x:v>0.001</x:v>
      </x:c>
      <x:c r="J24" s="58" t="str">
        <x:v>已登记</x:v>
      </x:c>
    </x:row>
    <x:row r="25" ht="118.80000305175781" hidden="0" customHeight="1">
      <x:c r="A25" s="42" t="n">
        <x:v>21</x:v>
      </x:c>
      <x:c r="B25" s="49" t="str">
        <x:v>tests/test_crossref_authority_eval.py</x:v>
      </x:c>
      <x:c r="C25" s="49" t="str">
        <x:v>test_stratified_sample_round_robins_doi_prefixes</x:v>
      </x:c>
      <x:c r="D25" s="49" t="str">
        <x:v>默认场景</x:v>
      </x:c>
      <x:c r="E25" s="49" t="str">
        <x:v>验证普通 DOI 样本按注册前缀轮转抽取，避免单一高频前缀垄断评测集。</x:v>
      </x:c>
      <x:c r="F25" s="49" t="str">
        <x:v>样本容量允许时优先覆盖不同前缀，再抽取同前缀的第二条记录。</x:v>
      </x:c>
      <x:c r="G25" s="49" t="str">
        <x:v>按字典序直接截取可能让 ACL 等单一出版群体主导选型结论。</x:v>
      </x:c>
      <x:c r="H25" s="52" t="str">
        <x:v>通过</x:v>
      </x:c>
      <x:c r="I25" s="55" t="n">
        <x:v>0.001</x:v>
      </x:c>
      <x:c r="J25" s="58" t="str">
        <x:v>已登记</x:v>
      </x:c>
    </x:row>
    <x:row r="26" ht="105.5999984741211" hidden="0" customHeight="1">
      <x:c r="A26" s="42" t="n">
        <x:v>22</x:v>
      </x:c>
      <x:c r="B26" s="49" t="str">
        <x:v>tests/test_crossref_authority_eval.py</x:v>
      </x:c>
      <x:c r="C26" s="49" t="str">
        <x:v>test_provider_comparison_counts_only_two_successful_titles</x:v>
      </x:c>
      <x:c r="D26" s="49" t="str">
        <x:v>默认场景</x:v>
      </x:c>
      <x:c r="E26" s="49" t="str">
        <x:v>验证 provider 一致率只使用双方均成功返回标题的 DOI。</x:v>
      </x:c>
      <x:c r="F26" s="49" t="str">
        <x:v>单方失败的记录不进入分母，双方标题一致时正确计入一致数量。</x:v>
      </x:c>
      <x:c r="G26" s="49" t="str">
        <x:v>限流失败可能被当成元数据不一致，错误贬低候选 provider。</x:v>
      </x:c>
      <x:c r="H26" s="52" t="str">
        <x:v>通过</x:v>
      </x:c>
      <x:c r="I26" s="55" t="n">
        <x:v>0.001</x:v>
      </x:c>
      <x:c r="J26" s="58" t="str">
        <x:v>已登记</x:v>
      </x:c>
    </x:row>
    <x:row r="27" ht="118.80000305175781" hidden="0" customHeight="1">
      <x:c r="A27" s="42" t="n">
        <x:v>23</x:v>
      </x:c>
      <x:c r="B27" s="49" t="str">
        <x:v>tests/test_doi_contamination_challenge.py</x:v>
      </x:c>
      <x:c r="C27" s="49" t="str">
        <x:v>test_doi_contamination_challenge_meets_stop_condition</x:v>
      </x:c>
      <x:c r="D27" s="49" t="str">
        <x:v>默认场景</x:v>
      </x:c>
      <x:c r="E27" s="49" t="str">
        <x:v>验证 DOI 校验在固定污染、缺失、近似、查无和失败场景中达到阶段止损条件。</x:v>
      </x:c>
      <x:c r="F27" s="49" t="str">
        <x:v>6 类场景全部通过，修复准确率 100%，误修复和误隔离均为 0。</x:v>
      </x:c>
      <x:c r="G27" s="49" t="str">
        <x:v>DOI 议题可能在没有安全验收的情况下被草率结束，或无边界持续扩张。</x:v>
      </x:c>
      <x:c r="H27" s="52" t="str">
        <x:v>通过</x:v>
      </x:c>
      <x:c r="I27" s="55" t="n">
        <x:v>0.003</x:v>
      </x:c>
      <x:c r="J27" s="58" t="str">
        <x:v>已登记</x:v>
      </x:c>
    </x:row>
    <x:row r="28" ht="132" hidden="0" customHeight="1">
      <x:c r="A28" s="42" t="n">
        <x:v>24</x:v>
      </x:c>
      <x:c r="B28" s="49" t="str">
        <x:v>tests/test_graph_integration.py</x:v>
      </x:c>
      <x:c r="C28" s="49" t="str">
        <x:v>test_standard_query_runs_the_agentic_rag_path</x:v>
      </x:c>
      <x:c r="D28" s="49" t="str">
        <x:v>默认场景</x:v>
      </x:c>
      <x:c r="E28" s="49" t="str">
        <x:v>验证普通研究问题按完整 Agentic RAG 节点顺序执行。</x:v>
      </x:c>
      <x:c r="F28" s="49" t="str">
        <x:v>流程依次经过改写、规划、检索、评估、推理、生成和指标节点，并返回答案与子查询。</x:v>
      </x:c>
      <x:c r="G28" s="49" t="str">
        <x:v>图路由顺序、节点连接或状态传递出现回归。</x:v>
      </x:c>
      <x:c r="H28" s="52" t="str">
        <x:v>通过</x:v>
      </x:c>
      <x:c r="I28" s="55" t="n">
        <x:v>0.094</x:v>
      </x:c>
      <x:c r="J28" s="58" t="str">
        <x:v>已登记</x:v>
      </x:c>
    </x:row>
    <x:row r="29" ht="105.5999984741211" hidden="0" customHeight="1">
      <x:c r="A29" s="42" t="n">
        <x:v>25</x:v>
      </x:c>
      <x:c r="B29" s="49" t="str">
        <x:v>tests/test_graph_integration.py</x:v>
      </x:c>
      <x:c r="C29" s="49" t="str">
        <x:v>test_pdf_query_skips_query_planning_and_retrieval</x:v>
      </x:c>
      <x:c r="D29" s="49" t="str">
        <x:v>默认场景</x:v>
      </x:c>
      <x:c r="E29" s="49" t="str">
        <x:v>验证已有 PDF 的请求不会重复进行外部查询规划和检索。</x:v>
      </x:c>
      <x:c r="F29" s="49" t="str">
        <x:v>PDF 请求只经过改写、推理、生成和指标节点，避免不必要检索。</x:v>
      </x:c>
      <x:c r="G29" s="49" t="str">
        <x:v>PDF 流程误入外部检索，增加延迟、Token 或引入无关资料。</x:v>
      </x:c>
      <x:c r="H29" s="52" t="str">
        <x:v>通过</x:v>
      </x:c>
      <x:c r="I29" s="55" t="n">
        <x:v>0.067</x:v>
      </x:c>
      <x:c r="J29" s="58" t="str">
        <x:v>已登记</x:v>
      </x:c>
    </x:row>
    <x:row r="30" ht="132" hidden="0" customHeight="1">
      <x:c r="A30" s="42" t="n">
        <x:v>26</x:v>
      </x:c>
      <x:c r="B30" s="49" t="str">
        <x:v>tests/test_graph_integration.py</x:v>
      </x:c>
      <x:c r="C30" s="49" t="str">
        <x:v>test_smalltalk_ends_before_all_rag_and_llm_nodes</x:v>
      </x:c>
      <x:c r="D30" s="49" t="str">
        <x:v>默认场景</x:v>
      </x:c>
      <x:c r="E30" s="49" t="str">
        <x:v>验证问候类输入在进入 RAG 与 LLM 节点前本地结束。</x:v>
      </x:c>
      <x:c r="F30" s="49" t="str">
        <x:v>没有调用任何后续节点，答案由本地生成，工具与 Token 用量为零并标记短路。</x:v>
      </x:c>
      <x:c r="G30" s="49" t="str">
        <x:v>简单问候可能触发完整 Agent 流程，造成不必要 Token 和延迟。</x:v>
      </x:c>
      <x:c r="H30" s="52" t="str">
        <x:v>通过</x:v>
      </x:c>
      <x:c r="I30" s="55" t="n">
        <x:v>0.066</x:v>
      </x:c>
      <x:c r="J30" s="58" t="str">
        <x:v>已登记</x:v>
      </x:c>
    </x:row>
    <x:row r="31" ht="105.5999984741211" hidden="0" customHeight="1">
      <x:c r="A31" s="42" t="n">
        <x:v>27</x:v>
      </x:c>
      <x:c r="B31" s="49" t="str">
        <x:v>tests/test_intent_router.py</x:v>
      </x:c>
      <x:c r="C31" s="49" t="str">
        <x:v>test_classifies_exact_greetings_without_an_llm[hi]</x:v>
      </x:c>
      <x:c r="D31" s="49" t="str">
        <x:v>hi</x:v>
      </x:c>
      <x:c r="E31" s="49" t="str">
        <x:v>验证不同语言和格式的纯问候可由本地规则识别。</x:v>
      </x:c>
      <x:c r="F31" s="49" t="str">
        <x:v>当前参数场景被分类为 greeting，不需要调用 LLM。</x:v>
      </x:c>
      <x:c r="G31" s="49" t="str">
        <x:v>问候可能被误送入研究流程，浪费 Token；或被分类为错误意图。</x:v>
      </x:c>
      <x:c r="H31" s="52" t="str">
        <x:v>通过</x:v>
      </x:c>
      <x:c r="I31" s="55" t="n">
        <x:v>0.003</x:v>
      </x:c>
      <x:c r="J31" s="58" t="str">
        <x:v>已登记</x:v>
      </x:c>
    </x:row>
    <x:row r="32" ht="105.5999984741211" hidden="0" customHeight="1">
      <x:c r="A32" s="42" t="n">
        <x:v>28</x:v>
      </x:c>
      <x:c r="B32" s="49" t="str">
        <x:v>tests/test_intent_router.py</x:v>
      </x:c>
      <x:c r="C32" s="49" t="str">
        <x:v>test_classifies_exact_greetings_without_an_llm[Hello!]</x:v>
      </x:c>
      <x:c r="D32" s="49" t="str">
        <x:v>Hello!</x:v>
      </x:c>
      <x:c r="E32" s="49" t="str">
        <x:v>验证不同语言和格式的纯问候可由本地规则识别。</x:v>
      </x:c>
      <x:c r="F32" s="49" t="str">
        <x:v>当前参数场景被分类为 greeting，不需要调用 LLM。</x:v>
      </x:c>
      <x:c r="G32" s="49" t="str">
        <x:v>问候可能被误送入研究流程，浪费 Token；或被分类为错误意图。</x:v>
      </x:c>
      <x:c r="H32" s="52" t="str">
        <x:v>通过</x:v>
      </x:c>
      <x:c r="I32" s="55" t="n">
        <x:v>0.002</x:v>
      </x:c>
      <x:c r="J32" s="58" t="str">
        <x:v>已登记</x:v>
      </x:c>
    </x:row>
    <x:row r="33" ht="105.5999984741211" hidden="0" customHeight="1">
      <x:c r="A33" s="42" t="n">
        <x:v>29</x:v>
      </x:c>
      <x:c r="B33" s="49" t="str">
        <x:v>tests/test_intent_router.py</x:v>
      </x:c>
      <x:c r="C33" s="49" t="str">
        <x:v>test_classifies_exact_greetings_without_an_llm[ \u4f60\u597d\u3002 ]</x:v>
      </x:c>
      <x:c r="D33" s="49" t="str">
        <x:v> 你好。 </x:v>
      </x:c>
      <x:c r="E33" s="49" t="str">
        <x:v>验证不同语言和格式的纯问候可由本地规则识别。</x:v>
      </x:c>
      <x:c r="F33" s="49" t="str">
        <x:v>当前参数场景被分类为 greeting，不需要调用 LLM。</x:v>
      </x:c>
      <x:c r="G33" s="49" t="str">
        <x:v>问候可能被误送入研究流程，浪费 Token；或被分类为错误意图。</x:v>
      </x:c>
      <x:c r="H33" s="52" t="str">
        <x:v>通过</x:v>
      </x:c>
      <x:c r="I33" s="55" t="n">
        <x:v>0.002</x:v>
      </x:c>
      <x:c r="J33" s="58" t="str">
        <x:v>已登记</x:v>
      </x:c>
    </x:row>
    <x:row r="34" ht="105.5999984741211" hidden="0" customHeight="1">
      <x:c r="A34" s="42" t="n">
        <x:v>30</x:v>
      </x:c>
      <x:c r="B34" s="49" t="str">
        <x:v>tests/test_intent_router.py</x:v>
      </x:c>
      <x:c r="C34" s="49" t="str">
        <x:v>test_classifies_exact_greetings_without_an_llm[\u60a8\u597d]</x:v>
      </x:c>
      <x:c r="D34" s="49" t="str">
        <x:v>您好</x:v>
      </x:c>
      <x:c r="E34" s="49" t="str">
        <x:v>验证不同语言和格式的纯问候可由本地规则识别。</x:v>
      </x:c>
      <x:c r="F34" s="49" t="str">
        <x:v>当前参数场景被分类为 greeting，不需要调用 LLM。</x:v>
      </x:c>
      <x:c r="G34" s="49" t="str">
        <x:v>问候可能被误送入研究流程，浪费 Token；或被分类为错误意图。</x:v>
      </x:c>
      <x:c r="H34" s="52" t="str">
        <x:v>通过</x:v>
      </x:c>
      <x:c r="I34" s="55" t="n">
        <x:v>0.001</x:v>
      </x:c>
      <x:c r="J34" s="58" t="str">
        <x:v>已登记</x:v>
      </x:c>
    </x:row>
    <x:row r="35" ht="79.19999694824219" hidden="0" customHeight="1">
      <x:c r="A35" s="42" t="n">
        <x:v>31</x:v>
      </x:c>
      <x:c r="B35" s="49" t="str">
        <x:v>tests/test_intent_router.py</x:v>
      </x:c>
      <x:c r="C35" s="49" t="str">
        <x:v>test_classifies_thanks_without_an_llm[thanks]</x:v>
      </x:c>
      <x:c r="D35" s="49" t="str">
        <x:v>thanks</x:v>
      </x:c>
      <x:c r="E35" s="49" t="str">
        <x:v>验证中英文感谢表达可由本地规则识别。</x:v>
      </x:c>
      <x:c r="F35" s="49" t="str">
        <x:v>当前参数场景被分类为 thanks，不需要调用 LLM。</x:v>
      </x:c>
      <x:c r="G35" s="49" t="str">
        <x:v>感谢语可能触发完整研究流程或得到不合适的回复。</x:v>
      </x:c>
      <x:c r="H35" s="52" t="str">
        <x:v>通过</x:v>
      </x:c>
      <x:c r="I35" s="55" t="n">
        <x:v>0.001</x:v>
      </x:c>
      <x:c r="J35" s="58" t="str">
        <x:v>已登记</x:v>
      </x:c>
    </x:row>
    <x:row r="36" ht="79.19999694824219" hidden="0" customHeight="1">
      <x:c r="A36" s="42" t="n">
        <x:v>32</x:v>
      </x:c>
      <x:c r="B36" s="49" t="str">
        <x:v>tests/test_intent_router.py</x:v>
      </x:c>
      <x:c r="C36" s="49" t="str">
        <x:v>test_classifies_thanks_without_an_llm[Thank you!]</x:v>
      </x:c>
      <x:c r="D36" s="49" t="str">
        <x:v>Thank you!</x:v>
      </x:c>
      <x:c r="E36" s="49" t="str">
        <x:v>验证中英文感谢表达可由本地规则识别。</x:v>
      </x:c>
      <x:c r="F36" s="49" t="str">
        <x:v>当前参数场景被分类为 thanks，不需要调用 LLM。</x:v>
      </x:c>
      <x:c r="G36" s="49" t="str">
        <x:v>感谢语可能触发完整研究流程或得到不合适的回复。</x:v>
      </x:c>
      <x:c r="H36" s="52" t="str">
        <x:v>通过</x:v>
      </x:c>
      <x:c r="I36" s="55" t="n">
        <x:v>0.002</x:v>
      </x:c>
      <x:c r="J36" s="58" t="str">
        <x:v>已登记</x:v>
      </x:c>
    </x:row>
    <x:row r="37" ht="79.19999694824219" hidden="0" customHeight="1">
      <x:c r="A37" s="42" t="n">
        <x:v>33</x:v>
      </x:c>
      <x:c r="B37" s="49" t="str">
        <x:v>tests/test_intent_router.py</x:v>
      </x:c>
      <x:c r="C37" s="49" t="str">
        <x:v>test_classifies_thanks_without_an_llm[\u8c22\u8c22]</x:v>
      </x:c>
      <x:c r="D37" s="49" t="str">
        <x:v>谢谢</x:v>
      </x:c>
      <x:c r="E37" s="49" t="str">
        <x:v>验证中英文感谢表达可由本地规则识别。</x:v>
      </x:c>
      <x:c r="F37" s="49" t="str">
        <x:v>当前参数场景被分类为 thanks，不需要调用 LLM。</x:v>
      </x:c>
      <x:c r="G37" s="49" t="str">
        <x:v>感谢语可能触发完整研究流程或得到不合适的回复。</x:v>
      </x:c>
      <x:c r="H37" s="52" t="str">
        <x:v>通过</x:v>
      </x:c>
      <x:c r="I37" s="55" t="n">
        <x:v>0.001</x:v>
      </x:c>
      <x:c r="J37" s="58" t="str">
        <x:v>已登记</x:v>
      </x:c>
    </x:row>
    <x:row r="38" ht="79.19999694824219" hidden="0" customHeight="1">
      <x:c r="A38" s="42" t="n">
        <x:v>34</x:v>
      </x:c>
      <x:c r="B38" s="49" t="str">
        <x:v>tests/test_intent_router.py</x:v>
      </x:c>
      <x:c r="C38" s="49" t="str">
        <x:v>test_classifies_thanks_without_an_llm[\u611f\u8c22\uff01]</x:v>
      </x:c>
      <x:c r="D38" s="49" t="str">
        <x:v>感谢！</x:v>
      </x:c>
      <x:c r="E38" s="49" t="str">
        <x:v>验证中英文感谢表达可由本地规则识别。</x:v>
      </x:c>
      <x:c r="F38" s="49" t="str">
        <x:v>当前参数场景被分类为 thanks，不需要调用 LLM。</x:v>
      </x:c>
      <x:c r="G38" s="49" t="str">
        <x:v>感谢语可能触发完整研究流程或得到不合适的回复。</x:v>
      </x:c>
      <x:c r="H38" s="52" t="str">
        <x:v>通过</x:v>
      </x:c>
      <x:c r="I38" s="55" t="n">
        <x:v>0.002</x:v>
      </x:c>
      <x:c r="J38" s="58" t="str">
        <x:v>已登记</x:v>
      </x:c>
    </x:row>
    <x:row r="39" ht="92.4000015258789" hidden="0" customHeight="1">
      <x:c r="A39" s="42" t="n">
        <x:v>35</x:v>
      </x:c>
      <x:c r="B39" s="49" t="str">
        <x:v>tests/test_intent_router.py</x:v>
      </x:c>
      <x:c r="C39" s="49" t="str">
        <x:v>test_classifies_identity_questions_without_an_llm[who are you?]</x:v>
      </x:c>
      <x:c r="D39" s="49" t="str">
        <x:v>who are you?</x:v>
      </x:c>
      <x:c r="E39" s="49" t="str">
        <x:v>验证“你是谁/能做什么”等身份能力问题可本地识别。</x:v>
      </x:c>
      <x:c r="F39" s="49" t="str">
        <x:v>当前参数场景被分类为 identity，不需要调用 LLM。</x:v>
      </x:c>
      <x:c r="G39" s="49" t="str">
        <x:v>身份问题可能错误触发检索或无法返回预设能力说明。</x:v>
      </x:c>
      <x:c r="H39" s="52" t="str">
        <x:v>通过</x:v>
      </x:c>
      <x:c r="I39" s="55" t="n">
        <x:v>0.002</x:v>
      </x:c>
      <x:c r="J39" s="58" t="str">
        <x:v>已登记</x:v>
      </x:c>
    </x:row>
    <x:row r="40" ht="105.5999984741211" hidden="0" customHeight="1">
      <x:c r="A40" s="42" t="n">
        <x:v>36</x:v>
      </x:c>
      <x:c r="B40" s="49" t="str">
        <x:v>tests/test_intent_router.py</x:v>
      </x:c>
      <x:c r="C40" s="49" t="str">
        <x:v>test_classifies_identity_questions_without_an_llm[\u4f60\u662f\u8c01\uff1f]</x:v>
      </x:c>
      <x:c r="D40" s="49" t="str">
        <x:v>你是谁？</x:v>
      </x:c>
      <x:c r="E40" s="49" t="str">
        <x:v>验证“你是谁/能做什么”等身份能力问题可本地识别。</x:v>
      </x:c>
      <x:c r="F40" s="49" t="str">
        <x:v>当前参数场景被分类为 identity，不需要调用 LLM。</x:v>
      </x:c>
      <x:c r="G40" s="49" t="str">
        <x:v>身份问题可能错误触发检索或无法返回预设能力说明。</x:v>
      </x:c>
      <x:c r="H40" s="52" t="str">
        <x:v>通过</x:v>
      </x:c>
      <x:c r="I40" s="55" t="n">
        <x:v>0.001</x:v>
      </x:c>
      <x:c r="J40" s="58" t="str">
        <x:v>已登记</x:v>
      </x:c>
    </x:row>
    <x:row r="41" ht="118.80000305175781" hidden="0" customHeight="1">
      <x:c r="A41" s="42" t="n">
        <x:v>37</x:v>
      </x:c>
      <x:c r="B41" s="49" t="str">
        <x:v>tests/test_intent_router.py</x:v>
      </x:c>
      <x:c r="C41" s="49" t="str">
        <x:v>test_classifies_identity_questions_without_an_llm[\u4f60\u80fd\u505a\u4ec0\u4e48]</x:v>
      </x:c>
      <x:c r="D41" s="49" t="str">
        <x:v>你能做什么</x:v>
      </x:c>
      <x:c r="E41" s="49" t="str">
        <x:v>验证“你是谁/能做什么”等身份能力问题可本地识别。</x:v>
      </x:c>
      <x:c r="F41" s="49" t="str">
        <x:v>当前参数场景被分类为 identity，不需要调用 LLM。</x:v>
      </x:c>
      <x:c r="G41" s="49" t="str">
        <x:v>身份问题可能错误触发检索或无法返回预设能力说明。</x:v>
      </x:c>
      <x:c r="H41" s="52" t="str">
        <x:v>通过</x:v>
      </x:c>
      <x:c r="I41" s="55" t="n">
        <x:v>0.001</x:v>
      </x:c>
      <x:c r="J41" s="58" t="str">
        <x:v>已登记</x:v>
      </x:c>
    </x:row>
    <x:row r="42" ht="105.5999984741211" hidden="0" customHeight="1">
      <x:c r="A42" s="42" t="n">
        <x:v>38</x:v>
      </x:c>
      <x:c r="B42" s="49" t="str">
        <x:v>tests/test_intent_router.py</x:v>
      </x:c>
      <x:c r="C42" s="49" t="str">
        <x:v>test_does_not_short_circuit_research_or_pdf_requests[state0]</x:v>
      </x:c>
      <x:c r="D42" s="49" t="str">
        <x:v>state0</x:v>
      </x:c>
      <x:c r="E42" s="49" t="str">
        <x:v>防止含问候词的真实研究请求或 PDF 请求被错误当成闲聊短路。</x:v>
      </x:c>
      <x:c r="F42" s="49" t="str">
        <x:v>当前参数场景仍被分类为 research，会继续执行所需研究流程。</x:v>
      </x:c>
      <x:c r="G42" s="49" t="str">
        <x:v>真实论文检索、比较或 PDF 分析请求可能被提前终止。</x:v>
      </x:c>
      <x:c r="H42" s="52" t="str">
        <x:v>通过</x:v>
      </x:c>
      <x:c r="I42" s="55" t="n">
        <x:v>0.002</x:v>
      </x:c>
      <x:c r="J42" s="58" t="str">
        <x:v>已登记</x:v>
      </x:c>
    </x:row>
    <x:row r="43" ht="105.5999984741211" hidden="0" customHeight="1">
      <x:c r="A43" s="42" t="n">
        <x:v>39</x:v>
      </x:c>
      <x:c r="B43" s="49" t="str">
        <x:v>tests/test_intent_router.py</x:v>
      </x:c>
      <x:c r="C43" s="49" t="str">
        <x:v>test_does_not_short_circuit_research_or_pdf_requests[state1]</x:v>
      </x:c>
      <x:c r="D43" s="49" t="str">
        <x:v>state1</x:v>
      </x:c>
      <x:c r="E43" s="49" t="str">
        <x:v>防止含问候词的真实研究请求或 PDF 请求被错误当成闲聊短路。</x:v>
      </x:c>
      <x:c r="F43" s="49" t="str">
        <x:v>当前参数场景仍被分类为 research，会继续执行所需研究流程。</x:v>
      </x:c>
      <x:c r="G43" s="49" t="str">
        <x:v>真实论文检索、比较或 PDF 分析请求可能被提前终止。</x:v>
      </x:c>
      <x:c r="H43" s="52" t="str">
        <x:v>通过</x:v>
      </x:c>
      <x:c r="I43" s="55" t="n">
        <x:v>0.002</x:v>
      </x:c>
      <x:c r="J43" s="58" t="str">
        <x:v>已登记</x:v>
      </x:c>
    </x:row>
    <x:row r="44" ht="105.5999984741211" hidden="0" customHeight="1">
      <x:c r="A44" s="42" t="n">
        <x:v>40</x:v>
      </x:c>
      <x:c r="B44" s="49" t="str">
        <x:v>tests/test_intent_router.py</x:v>
      </x:c>
      <x:c r="C44" s="49" t="str">
        <x:v>test_does_not_short_circuit_research_or_pdf_requests[state2]</x:v>
      </x:c>
      <x:c r="D44" s="49" t="str">
        <x:v>state2</x:v>
      </x:c>
      <x:c r="E44" s="49" t="str">
        <x:v>防止含问候词的真实研究请求或 PDF 请求被错误当成闲聊短路。</x:v>
      </x:c>
      <x:c r="F44" s="49" t="str">
        <x:v>当前参数场景仍被分类为 research，会继续执行所需研究流程。</x:v>
      </x:c>
      <x:c r="G44" s="49" t="str">
        <x:v>真实论文检索、比较或 PDF 分析请求可能被提前终止。</x:v>
      </x:c>
      <x:c r="H44" s="52" t="str">
        <x:v>通过</x:v>
      </x:c>
      <x:c r="I44" s="55" t="n">
        <x:v>0.003</x:v>
      </x:c>
      <x:c r="J44" s="58" t="str">
        <x:v>已登记</x:v>
      </x:c>
    </x:row>
    <x:row r="45" ht="92.4000015258789" hidden="0" customHeight="1">
      <x:c r="A45" s="42" t="n">
        <x:v>41</x:v>
      </x:c>
      <x:c r="B45" s="49" t="str">
        <x:v>tests/test_intent_router.py</x:v>
      </x:c>
      <x:c r="C45" s="49" t="str">
        <x:v>test_normalize_message_only_removes_superficial_variations</x:v>
      </x:c>
      <x:c r="D45" s="49" t="str">
        <x:v>默认场景</x:v>
      </x:c>
      <x:c r="E45" s="49" t="str">
        <x:v>验证意图匹配前只清理空格、大小写和末尾标点等表面差异。</x:v>
      </x:c>
      <x:c r="F45" s="49" t="str">
        <x:v>带空格、大小写和标点的 HELLO 被稳定归一化为 hello。</x:v>
      </x:c>
      <x:c r="G45" s="49" t="str">
        <x:v>归一化规则过弱会漏识别，过强则可能改变用户真实语义。</x:v>
      </x:c>
      <x:c r="H45" s="52" t="str">
        <x:v>通过</x:v>
      </x:c>
      <x:c r="I45" s="55" t="n">
        <x:v>0.002</x:v>
      </x:c>
      <x:c r="J45" s="58" t="str">
        <x:v>已登记</x:v>
      </x:c>
    </x:row>
    <x:row r="46" ht="132" hidden="0" customHeight="1">
      <x:c r="A46" s="42" t="n">
        <x:v>42</x:v>
      </x:c>
      <x:c r="B46" s="49" t="str">
        <x:v>tests/test_intent_router.py</x:v>
      </x:c>
      <x:c r="C46" s="49" t="str">
        <x:v>test_smalltalk_result_is_local_and_preserves_existing_state_metadata</x:v>
      </x:c>
      <x:c r="D46" s="49" t="str">
        <x:v>默认场景</x:v>
      </x:c>
      <x:c r="E46" s="49" t="str">
        <x:v>验证本地闲聊响应不会破坏已有状态和请求元数据。</x:v>
      </x:c>
      <x:c r="F46" s="49" t="str">
        <x:v>本地答案、空文档、零 Token、原 conversation_id 和短路标记同时保留。</x:v>
      </x:c>
      <x:c r="G46" s="49" t="str">
        <x:v>闲聊优化可能覆盖上下文、误报用量或遗失会话标识。</x:v>
      </x:c>
      <x:c r="H46" s="52" t="str">
        <x:v>通过</x:v>
      </x:c>
      <x:c r="I46" s="55" t="n">
        <x:v>0.001</x:v>
      </x:c>
      <x:c r="J46" s="58" t="str">
        <x:v>已登记</x:v>
      </x:c>
    </x:row>
    <x:row r="47" ht="118.80000305175781" hidden="0" customHeight="1">
      <x:c r="A47" s="42" t="n">
        <x:v>43</x:v>
      </x:c>
      <x:c r="B47" s="49" t="str">
        <x:v>tests/test_llm_usage.py</x:v>
      </x:c>
      <x:c r="C47" s="49" t="str">
        <x:v>test_extracts_langchain_usage_metadata</x:v>
      </x:c>
      <x:c r="D47" s="49" t="str">
        <x:v>默认场景</x:v>
      </x:c>
      <x:c r="E47" s="49" t="str">
        <x:v>验证能读取 LangChain 标准 usage_metadata Token 字段。</x:v>
      </x:c>
      <x:c r="F47" s="49" t="str">
        <x:v>输入、输出和总 Token 被按 120/30/150 提取，并标记数据可用。</x:v>
      </x:c>
      <x:c r="G47" s="49" t="str">
        <x:v>LangChain 模型调用的 Token 可能无法计费或被错误统计。</x:v>
      </x:c>
      <x:c r="H47" s="52" t="str">
        <x:v>通过</x:v>
      </x:c>
      <x:c r="I47" s="55" t="n">
        <x:v>0.002</x:v>
      </x:c>
      <x:c r="J47" s="58" t="str">
        <x:v>已登记</x:v>
      </x:c>
    </x:row>
    <x:row r="48" ht="92.4000015258789" hidden="0" customHeight="1">
      <x:c r="A48" s="42" t="n">
        <x:v>44</x:v>
      </x:c>
      <x:c r="B48" s="49" t="str">
        <x:v>tests/test_llm_usage.py</x:v>
      </x:c>
      <x:c r="C48" s="49" t="str">
        <x:v>test_extracts_openai_compatible_response_metadata</x:v>
      </x:c>
      <x:c r="D48" s="49" t="str">
        <x:v>默认场景</x:v>
      </x:c>
      <x:c r="E48" s="49" t="str">
        <x:v>验证能读取 OpenAI 兼容响应中的 token_usage 字段。</x:v>
      </x:c>
      <x:c r="F48" s="49" t="str">
        <x:v>prompt、completion 和 total Token 被映射为统一内部格式。</x:v>
      </x:c>
      <x:c r="G48" s="49" t="str">
        <x:v>兼容 OpenAI 的模型响应可能出现用量漏记。</x:v>
      </x:c>
      <x:c r="H48" s="52" t="str">
        <x:v>通过</x:v>
      </x:c>
      <x:c r="I48" s="55" t="n">
        <x:v>0.002</x:v>
      </x:c>
      <x:c r="J48" s="58" t="str">
        <x:v>已登记</x:v>
      </x:c>
    </x:row>
    <x:row r="49" ht="105.5999984741211" hidden="0" customHeight="1">
      <x:c r="A49" s="42" t="n">
        <x:v>45</x:v>
      </x:c>
      <x:c r="B49" s="49" t="str">
        <x:v>tests/test_llm_usage.py</x:v>
      </x:c>
      <x:c r="C49" s="49" t="str">
        <x:v>test_missing_usage_is_explicit_instead_of_estimated</x:v>
      </x:c>
      <x:c r="D49" s="49" t="str">
        <x:v>默认场景</x:v>
      </x:c>
      <x:c r="E49" s="49" t="str">
        <x:v>验证模型未返回 Token 数据时系统明确标记缺失而不伪造估算值。</x:v>
      </x:c>
      <x:c r="F49" s="49" t="str">
        <x:v>所有 Token 为零且 token_usage_available 为 false。</x:v>
      </x:c>
      <x:c r="G49" s="49" t="str">
        <x:v>缺失数据可能被误当成真实零用量或产生不可信估算。</x:v>
      </x:c>
      <x:c r="H49" s="52" t="str">
        <x:v>通过</x:v>
      </x:c>
      <x:c r="I49" s="55" t="n">
        <x:v>0.002</x:v>
      </x:c>
      <x:c r="J49" s="58" t="str">
        <x:v>已登记</x:v>
      </x:c>
    </x:row>
    <x:row r="50" ht="105.5999984741211" hidden="0" customHeight="1">
      <x:c r="A50" s="42" t="n">
        <x:v>46</x:v>
      </x:c>
      <x:c r="B50" s="49" t="str">
        <x:v>tests/test_llm_usage.py</x:v>
      </x:c>
      <x:c r="C50" s="49" t="str">
        <x:v>test_successful_invocation_records_model_node_tokens_and_latency</x:v>
      </x:c>
      <x:c r="D50" s="49" t="str">
        <x:v>默认场景</x:v>
      </x:c>
      <x:c r="E50" s="49" t="str">
        <x:v>验证成功 LLM 调用会记录节点、模型、Token、成功状态和延迟。</x:v>
      </x:c>
      <x:c r="F50" s="49" t="str">
        <x:v>响应原样返回，并生成完整且非负延迟的 generate 节点用量记录。</x:v>
      </x:c>
      <x:c r="G50" s="49" t="str">
        <x:v>成功调用的成本、归属节点或性能数据可能缺失。</x:v>
      </x:c>
      <x:c r="H50" s="52" t="str">
        <x:v>通过</x:v>
      </x:c>
      <x:c r="I50" s="55" t="n">
        <x:v>0.002</x:v>
      </x:c>
      <x:c r="J50" s="58" t="str">
        <x:v>已登记</x:v>
      </x:c>
    </x:row>
    <x:row r="51" ht="118.80000305175781" hidden="0" customHeight="1">
      <x:c r="A51" s="42" t="n">
        <x:v>47</x:v>
      </x:c>
      <x:c r="B51" s="49" t="str">
        <x:v>tests/test_llm_usage.py</x:v>
      </x:c>
      <x:c r="C51" s="49" t="str">
        <x:v>test_failed_invocation_preserves_call_and_latency_record</x:v>
      </x:c>
      <x:c r="D51" s="49" t="str">
        <x:v>默认场景</x:v>
      </x:c>
      <x:c r="E51" s="49" t="str">
        <x:v>验证 LLM 调用失败时仍保留失败类型和耗时记录。</x:v>
      </x:c>
      <x:c r="F51" s="49" t="str">
        <x:v>TimeoutError 被包装保留，失败标记、零 Token 和非负延迟均存在。</x:v>
      </x:c>
      <x:c r="G51" s="49" t="str">
        <x:v>失败调用可能从指标中消失，导致稳定性与成本分析失真。</x:v>
      </x:c>
      <x:c r="H51" s="52" t="str">
        <x:v>通过</x:v>
      </x:c>
      <x:c r="I51" s="55" t="n">
        <x:v>0.001</x:v>
      </x:c>
      <x:c r="J51" s="58" t="str">
        <x:v>已登记</x:v>
      </x:c>
    </x:row>
    <x:row r="52" ht="132" hidden="0" customHeight="1">
      <x:c r="A52" s="42" t="n">
        <x:v>48</x:v>
      </x:c>
      <x:c r="B52" s="49" t="str">
        <x:v>tests/test_llm_usage.py</x:v>
      </x:c>
      <x:c r="C52" s="49" t="str">
        <x:v>test_multiple_node_records_are_aggregated_without_double_counting</x:v>
      </x:c>
      <x:c r="D52" s="49" t="str">
        <x:v>默认场景</x:v>
      </x:c>
      <x:c r="E52" s="49" t="str">
        <x:v>验证多个节点的 LLM 用量可以累加且不会重复计数。</x:v>
      </x:c>
      <x:c r="F52" s="49" t="str">
        <x:v>两次调用累计为输入 120、输出 45、总计 165 Token，失败数为零。</x:v>
      </x:c>
      <x:c r="G52" s="49" t="str">
        <x:v>跨节点汇总可能少算或重复计算 Token 与调用次数。</x:v>
      </x:c>
      <x:c r="H52" s="52" t="str">
        <x:v>通过</x:v>
      </x:c>
      <x:c r="I52" s="55" t="n">
        <x:v>0.003</x:v>
      </x:c>
      <x:c r="J52" s="58" t="str">
        <x:v>已登记</x:v>
      </x:c>
    </x:row>
    <x:row r="53" ht="105.5999984741211" hidden="0" customHeight="1">
      <x:c r="A53" s="42" t="n">
        <x:v>49</x:v>
      </x:c>
      <x:c r="B53" s="49" t="str">
        <x:v>tests/test_llm_usage.py</x:v>
      </x:c>
      <x:c r="C53" s="49" t="str">
        <x:v>test_metrics_groups_usage_by_node_and_reports_totals</x:v>
      </x:c>
      <x:c r="D53" s="49" t="str">
        <x:v>默认场景</x:v>
      </x:c>
      <x:c r="E53" s="49" t="str">
        <x:v>验证指标节点既能按节点分组，又能提供全流程总量与缺失用量统计。</x:v>
      </x:c>
      <x:c r="F53" s="49" t="str">
        <x:v>reason/generate 分组、失败数、总 Token、缺失次数和总延迟均正确。</x:v>
      </x:c>
      <x:c r="G53" s="49" t="str">
        <x:v>监控报告无法定位高成本或失败节点，或总量与明细不一致。</x:v>
      </x:c>
      <x:c r="H53" s="52" t="str">
        <x:v>通过</x:v>
      </x:c>
      <x:c r="I53" s="55" t="n">
        <x:v>0.005</x:v>
      </x:c>
      <x:c r="J53" s="58" t="str">
        <x:v>已登记</x:v>
      </x:c>
    </x:row>
    <x:row r="54" ht="92.4000015258789" hidden="0" customHeight="1">
      <x:c r="A54" s="42" t="n">
        <x:v>50</x:v>
      </x:c>
      <x:c r="B54" s="49" t="str">
        <x:v>tests/test_llm_usage_nodes.py</x:v>
      </x:c>
      <x:c r="C54" s="49" t="str">
        <x:v>test_reason_node_records_llm_usage</x:v>
      </x:c>
      <x:c r="D54" s="49" t="str">
        <x:v>默认场景</x:v>
      </x:c>
      <x:c r="E54" s="49" t="str">
        <x:v>验证推理节点启用 LLM 时会写入统一用量记录。</x:v>
      </x:c>
      <x:c r="F54" s="49" t="str">
        <x:v>任务类型解析正确，并记录一次 reason 调用和 13 Token。</x:v>
      </x:c>
      <x:c r="G54" s="49" t="str">
        <x:v>推理节点的模型调用可能未计入成本和性能指标。</x:v>
      </x:c>
      <x:c r="H54" s="52" t="str">
        <x:v>通过</x:v>
      </x:c>
      <x:c r="I54" s="55" t="n">
        <x:v>0.003</x:v>
      </x:c>
      <x:c r="J54" s="58" t="str">
        <x:v>已登记</x:v>
      </x:c>
    </x:row>
    <x:row r="55" ht="92.4000015258789" hidden="0" customHeight="1">
      <x:c r="A55" s="42" t="n">
        <x:v>51</x:v>
      </x:c>
      <x:c r="B55" s="49" t="str">
        <x:v>tests/test_llm_usage_nodes.py</x:v>
      </x:c>
      <x:c r="C55" s="49" t="str">
        <x:v>test_evaluate_node_records_usage_only_when_llm_is_enabled</x:v>
      </x:c>
      <x:c r="D55" s="49" t="str">
        <x:v>默认场景</x:v>
      </x:c>
      <x:c r="E55" s="49" t="str">
        <x:v>验证检索评估节点启用 LLM 时记录评分与用量。</x:v>
      </x:c>
      <x:c r="F55" s="49" t="str">
        <x:v>返回 0.8 评分，并记录一次 evaluate 调用和 31 Token。</x:v>
      </x:c>
      <x:c r="G55" s="49" t="str">
        <x:v>LLM 评估产生的成本可能漏记，或评分结果处理错误。</x:v>
      </x:c>
      <x:c r="H55" s="52" t="str">
        <x:v>通过</x:v>
      </x:c>
      <x:c r="I55" s="55" t="n">
        <x:v>0.003</x:v>
      </x:c>
      <x:c r="J55" s="58" t="str">
        <x:v>已登记</x:v>
      </x:c>
    </x:row>
    <x:row r="56" ht="118.80000305175781" hidden="0" customHeight="1">
      <x:c r="A56" s="42" t="n">
        <x:v>52</x:v>
      </x:c>
      <x:c r="B56" s="49" t="str">
        <x:v>tests/test_llm_usage_nodes.py</x:v>
      </x:c>
      <x:c r="C56" s="49" t="str">
        <x:v>test_generate_node_records_usage</x:v>
      </x:c>
      <x:c r="D56" s="49" t="str">
        <x:v>默认场景</x:v>
      </x:c>
      <x:c r="E56" s="49" t="str">
        <x:v>验证答案生成节点记录实际生成结果和模型用量。</x:v>
      </x:c>
      <x:c r="F56" s="49" t="str">
        <x:v>返回 grounded answer，并记录一次 generate 调用和 120 Token。</x:v>
      </x:c>
      <x:c r="G56" s="49" t="str">
        <x:v>最终生成成本、调用次数或答案传递可能出现回归。</x:v>
      </x:c>
      <x:c r="H56" s="52" t="str">
        <x:v>通过</x:v>
      </x:c>
      <x:c r="I56" s="55" t="n">
        <x:v>0.001</x:v>
      </x:c>
      <x:c r="J56" s="58" t="str">
        <x:v>已登记</x:v>
      </x:c>
    </x:row>
    <x:row r="57" ht="105.5999984741211" hidden="0" customHeight="1">
      <x:c r="A57" s="42" t="n">
        <x:v>53</x:v>
      </x:c>
      <x:c r="B57" s="49" t="str">
        <x:v>tests/test_llm_usage_nodes.py</x:v>
      </x:c>
      <x:c r="C57" s="49" t="str">
        <x:v>test_rule_based_evaluate_does_not_create_an_llm_call</x:v>
      </x:c>
      <x:c r="D57" s="49" t="str">
        <x:v>默认场景</x:v>
      </x:c>
      <x:c r="E57" s="49" t="str">
        <x:v>验证关闭 LLM 评估时只使用规则评分且不创建虚假调用记录。</x:v>
      </x:c>
      <x:c r="F57" s="49" t="str">
        <x:v>结果包含有效规则评分，但没有 llm_call_count。</x:v>
      </x:c>
      <x:c r="G57" s="49" t="str">
        <x:v>关闭模型后仍可能调用 LLM、误报用量或无法评分。</x:v>
      </x:c>
      <x:c r="H57" s="52" t="str">
        <x:v>通过</x:v>
      </x:c>
      <x:c r="I57" s="55" t="n">
        <x:v>0.002</x:v>
      </x:c>
      <x:c r="J57" s="58" t="str">
        <x:v>已登记</x:v>
      </x:c>
    </x:row>
    <x:row r="58" ht="118.80000305175781" hidden="0" customHeight="1">
      <x:c r="A58" s="42" t="n">
        <x:v>54</x:v>
      </x:c>
      <x:c r="B58" s="49" t="str">
        <x:v>tests/test_local_rag_bm25.py</x:v>
      </x:c>
      <x:c r="C58" s="49" t="str">
        <x:v>test_mixed_tokenizer_supports_chinese_and_english_queries</x:v>
      </x:c>
      <x:c r="D58" s="49" t="str">
        <x:v>默认场景</x:v>
      </x:c>
      <x:c r="E58" s="49" t="str">
        <x:v>验证 BM25 基线能把中文问题与英文术语、数字混合分词。</x:v>
      </x:c>
      <x:c r="F58" s="49" t="str">
        <x:v>输出同时包含英文词、中文单字/双字和实验数值，支持中文提问检索英文论文。</x:v>
      </x:c>
      <x:c r="G58" s="49" t="str">
        <x:v>跨语言术语或数值可能完全不进入索引，导致检索结果与算法质量无关地失败。</x:v>
      </x:c>
      <x:c r="H58" s="52" t="str">
        <x:v>通过</x:v>
      </x:c>
      <x:c r="I58" s="55" t="n">
        <x:v>0.002</x:v>
      </x:c>
      <x:c r="J58" s="58" t="str">
        <x:v>已登记</x:v>
      </x:c>
    </x:row>
    <x:row r="59" ht="132" hidden="0" customHeight="1">
      <x:c r="A59" s="42" t="n">
        <x:v>55</x:v>
      </x:c>
      <x:c r="B59" s="49" t="str">
        <x:v>tests/test_local_rag_bm25.py</x:v>
      </x:c>
      <x:c r="C59" s="49" t="str">
        <x:v>test_bm25_ranks_matching_chunk_first_and_is_deterministic</x:v>
      </x:c>
      <x:c r="D59" s="49" t="str">
        <x:v>默认场景</x:v>
      </x:c>
      <x:c r="E59" s="49" t="str">
        <x:v>验证 BM25 将包含查询词的文本块排在无关块之前，且重复运行排名与分数一致。</x:v>
      </x:c>
      <x:c r="F59" s="49" t="str">
        <x:v>相关块排名第一、得分更高，两次检索结果逐项相同。</x:v>
      </x:c>
      <x:c r="G59" s="49" t="str">
        <x:v>BM25 公式、排序方向或并列规则可能错误，使基线不可复现或相关结果后移。</x:v>
      </x:c>
      <x:c r="H59" s="52" t="str">
        <x:v>通过</x:v>
      </x:c>
      <x:c r="I59" s="55" t="n">
        <x:v>0.002</x:v>
      </x:c>
      <x:c r="J59" s="58" t="str">
        <x:v>已登记</x:v>
      </x:c>
    </x:row>
    <x:row r="60" ht="105.5999984741211" hidden="0" customHeight="1">
      <x:c r="A60" s="42" t="n">
        <x:v>56</x:v>
      </x:c>
      <x:c r="B60" s="49" t="str">
        <x:v>tests/test_local_rag_bm25.py</x:v>
      </x:c>
      <x:c r="C60" s="49" t="str">
        <x:v>test_bm25_rejects_invalid_configuration_and_limit</x:v>
      </x:c>
      <x:c r="D60" s="49" t="str">
        <x:v>默认场景</x:v>
      </x:c>
      <x:c r="E60" s="49" t="str">
        <x:v>验证 BM25 拒绝空语料和非正数返回条数。</x:v>
      </x:c>
      <x:c r="F60" s="49" t="str">
        <x:v>非法配置明确抛出 ValueError，不产生空索引或误导性排名。</x:v>
      </x:c>
      <x:c r="G60" s="49" t="str">
        <x:v>评测可能在没有语料或错误 K 值时静默运行并输出无意义指标。</x:v>
      </x:c>
      <x:c r="H60" s="52" t="str">
        <x:v>通过</x:v>
      </x:c>
      <x:c r="I60" s="55" t="n">
        <x:v>0.001</x:v>
      </x:c>
      <x:c r="J60" s="58" t="str">
        <x:v>已登记</x:v>
      </x:c>
    </x:row>
    <x:row r="61" ht="158.39999389648438" hidden="0" customHeight="1">
      <x:c r="A61" s="42" t="n">
        <x:v>57</x:v>
      </x:c>
      <x:c r="B61" s="49" t="str">
        <x:v>tests/test_local_rag_bm25.py</x:v>
      </x:c>
      <x:c r="C61" s="49" t="str">
        <x:v>test_local_rag_metrics_use_exact_gold_chunk_rank</x:v>
      </x:c>
      <x:c r="D61" s="49" t="str">
        <x:v>默认场景</x:v>
      </x:c>
      <x:c r="E61" s="49" t="str">
        <x:v>用手工可计算的排名验证本地 RAG Recall、MRR 与 nDCG 公式。</x:v>
      </x:c>
      <x:c r="F61" s="49" t="str">
        <x:v>金标准位于第二名时 Recall@1 为 0、Recall@3 为 1、MRR 为 0.5、nDCG 为 0.63093。</x:v>
      </x:c>
      <x:c r="G61" s="49" t="str">
        <x:v>指标公式或排名下标可能错误，导致后续技术选型基于虚假的提升数据。</x:v>
      </x:c>
      <x:c r="H61" s="52" t="str">
        <x:v>通过</x:v>
      </x:c>
      <x:c r="I61" s="55" t="n">
        <x:v>0.001</x:v>
      </x:c>
      <x:c r="J61" s="58" t="str">
        <x:v>已登记</x:v>
      </x:c>
    </x:row>
    <x:row r="62" ht="118.80000305175781" hidden="0" customHeight="1">
      <x:c r="A62" s="42" t="n">
        <x:v>58</x:v>
      </x:c>
      <x:c r="B62" s="49" t="str">
        <x:v>tests/test_local_rag_bm25.py</x:v>
      </x:c>
      <x:c r="C62" s="49" t="str">
        <x:v>test_local_rag_metrics_do_not_double_count_duplicate_page_hits</x:v>
      </x:c>
      <x:c r="D62" s="49" t="str">
        <x:v>默认场景</x:v>
      </x:c>
      <x:c r="E62" s="49" t="str">
        <x:v>验证同一相关 PDF 页返回多个 Chunk 时，page-level 指标只计算首次命中。</x:v>
      </x:c>
      <x:c r="F62" s="49" t="str">
        <x:v>重复页的 Recall、MRR、nDCG 均不超过 1，nDCG 恰为 1。</x:v>
      </x:c>
      <x:c r="G62" s="49" t="str">
        <x:v>同一页可能被重复计分，导致 nDCG 大于 100% 并制造虚假检索提升。</x:v>
      </x:c>
      <x:c r="H62" s="52" t="str">
        <x:v>通过</x:v>
      </x:c>
      <x:c r="I62" s="55" t="n">
        <x:v>0.001</x:v>
      </x:c>
      <x:c r="J62" s="58" t="str">
        <x:v>已登记</x:v>
      </x:c>
    </x:row>
    <x:row r="63" ht="118.80000305175781" hidden="0" customHeight="1">
      <x:c r="A63" s="42" t="n">
        <x:v>59</x:v>
      </x:c>
      <x:c r="B63" s="49" t="str">
        <x:v>tests/test_local_rag_corpus_manifest.py</x:v>
      </x:c>
      <x:c r="C63" s="49" t="str">
        <x:v>test_build_corpus_manifest_preserves_declared_identity_and_hash</x:v>
      </x:c>
      <x:c r="D63" s="49" t="str">
        <x:v>默认场景</x:v>
      </x:c>
      <x:c r="E63" s="49" t="str">
        <x:v>验证代表论文来源清单生成 Manifest 时保留语料版本、论文身份和内容哈希。</x:v>
      </x:c>
      <x:c r="F63" s="49" t="str">
        <x:v>输出包含唯一论文、arXiv ID 和 64 位 SHA-256，可追踪实验实际使用的原始文件。</x:v>
      </x:c>
      <x:c r="G63" s="49" t="str">
        <x:v>语料身份或内容版本可能丢失，导致不同 RAG 方案无法在同一批论文上公平复现。</x:v>
      </x:c>
      <x:c r="H63" s="52" t="str">
        <x:v>通过</x:v>
      </x:c>
      <x:c r="I63" s="55" t="n">
        <x:v>0.099</x:v>
      </x:c>
      <x:c r="J63" s="58" t="str">
        <x:v>已登记</x:v>
      </x:c>
    </x:row>
    <x:row r="64" ht="118.80000305175781" hidden="0" customHeight="1">
      <x:c r="A64" s="42" t="n">
        <x:v>60</x:v>
      </x:c>
      <x:c r="B64" s="49" t="str">
        <x:v>tests/test_local_rag_corpus_manifest.py</x:v>
      </x:c>
      <x:c r="C64" s="49" t="str">
        <x:v>test_build_corpus_manifest_rejects_missing_declared_pdf</x:v>
      </x:c>
      <x:c r="D64" s="49" t="str">
        <x:v>默认场景</x:v>
      </x:c>
      <x:c r="E64" s="49" t="str">
        <x:v>验证来源清单声明的 PDF 缺失时立即失败，而不是静默生成不完整语料。</x:v>
      </x:c>
      <x:c r="F64" s="49" t="str">
        <x:v>异常明确列出缺失文件名，避免误把缺论文的实验结果当成完整结果。</x:v>
      </x:c>
      <x:c r="G64" s="49" t="str">
        <x:v>测试语料可能悄悄缩水，召回率和跨论文问题会得到具有误导性的结果。</x:v>
      </x:c>
      <x:c r="H64" s="52" t="str">
        <x:v>通过</x:v>
      </x:c>
      <x:c r="I64" s="55" t="n">
        <x:v>0.043</x:v>
      </x:c>
      <x:c r="J64" s="58" t="str">
        <x:v>已登记</x:v>
      </x:c>
    </x:row>
    <x:row r="65" ht="118.80000305175781" hidden="0" customHeight="1">
      <x:c r="A65" s="42" t="n">
        <x:v>61</x:v>
      </x:c>
      <x:c r="B65" s="49" t="str">
        <x:v>tests/test_local_rag_dense.py</x:v>
      </x:c>
      <x:c r="C65" s="49" t="str">
        <x:v>test_dense_retriever_normalizes_vectors_and_ranks_by_cosine</x:v>
      </x:c>
      <x:c r="D65" s="49" t="str">
        <x:v>默认场景</x:v>
      </x:c>
      <x:c r="E65" s="49" t="str">
        <x:v>验证 Dense 检索显式归一化向量，并按余弦相似度将语义匹配块排在前面。</x:v>
      </x:c>
      <x:c r="F65" s="49" t="str">
        <x:v>相关块得分为 1 且排名第一，无关正交块得分为 0。</x:v>
      </x:c>
      <x:c r="G65" s="49" t="str">
        <x:v>未归一化裸点积可能受向量长度支配，产生不正确或不可比较的 Dense 排名。</x:v>
      </x:c>
      <x:c r="H65" s="52" t="str">
        <x:v>通过</x:v>
      </x:c>
      <x:c r="I65" s="55" t="n">
        <x:v>0.004</x:v>
      </x:c>
      <x:c r="J65" s="58" t="str">
        <x:v>已登记</x:v>
      </x:c>
    </x:row>
    <x:row r="66" ht="105.5999984741211" hidden="0" customHeight="1">
      <x:c r="A66" s="42" t="n">
        <x:v>62</x:v>
      </x:c>
      <x:c r="B66" s="49" t="str">
        <x:v>tests/test_local_rag_dense.py</x:v>
      </x:c>
      <x:c r="C66" s="49" t="str">
        <x:v>test_dense_retriever_rejects_zero_vectors_and_invalid_inputs</x:v>
      </x:c>
      <x:c r="D66" s="49" t="str">
        <x:v>默认场景</x:v>
      </x:c>
      <x:c r="E66" s="49" t="str">
        <x:v>验证 Dense 检索拒绝零向量和空语料。</x:v>
      </x:c>
      <x:c r="F66" s="49" t="str">
        <x:v>非法输入明确抛出 ValueError，避免除零或空索引生成伪结果。</x:v>
      </x:c>
      <x:c r="G66" s="49" t="str">
        <x:v>余弦归一化可能产生 NaN，或空知识库静默输出无意义评测。</x:v>
      </x:c>
      <x:c r="H66" s="52" t="str">
        <x:v>通过</x:v>
      </x:c>
      <x:c r="I66" s="55" t="n">
        <x:v>0.001</x:v>
      </x:c>
      <x:c r="J66" s="58" t="str">
        <x:v>已登记</x:v>
      </x:c>
    </x:row>
    <x:row r="67" ht="145.1999969482422" hidden="0" customHeight="1">
      <x:c r="A67" s="42" t="n">
        <x:v>63</x:v>
      </x:c>
      <x:c r="B67" s="49" t="str">
        <x:v>tests/test_local_rag_dense.py</x:v>
      </x:c>
      <x:c r="C67" s="49" t="str">
        <x:v>test_dense_index_cache_round_trips_vectors_and_invalidates_changed_corpus</x:v>
      </x:c>
      <x:c r="D67" s="49" t="str">
        <x:v>默认场景</x:v>
      </x:c>
      <x:c r="E67" s="49" t="str">
        <x:v>验证 Dense 向量缓存可以无损加载，并在语料文本、模型或处理版本变化后使用不同指纹。</x:v>
      </x:c>
      <x:c r="F67" s="49" t="str">
        <x:v>加载向量保持单位长度；变更语料不会错误命中旧缓存。</x:v>
      </x:c>
      <x:c r="G67" s="49" t="str">
        <x:v>陈旧向量可能与当前 Chunk 错位，使评测和生产检索返回不可追踪的错误证据。</x:v>
      </x:c>
      <x:c r="H67" s="52" t="str">
        <x:v>通过</x:v>
      </x:c>
      <x:c r="I67" s="55" t="n">
        <x:v>0.048</x:v>
      </x:c>
      <x:c r="J67" s="58" t="str">
        <x:v>已登记</x:v>
      </x:c>
    </x:row>
    <x:row r="68" ht="118.80000305175781" hidden="0" customHeight="1">
      <x:c r="A68" s="42" t="n">
        <x:v>64</x:v>
      </x:c>
      <x:c r="B68" s="49" t="str">
        <x:v>tests/test_local_rag_dense.py</x:v>
      </x:c>
      <x:c r="C68" s="49" t="str">
        <x:v>test_dense_retriever_reuses_cached_vectors_without_document_embedding</x:v>
      </x:c>
      <x:c r="D68" s="49" t="str">
        <x:v>默认场景</x:v>
      </x:c>
      <x:c r="E68" s="49" t="str">
        <x:v>验证缓存命中时 DenseRetriever 不会重新编码全部论文，只对查询生成向量。</x:v>
      </x:c>
      <x:c r="F68" s="49" t="str">
        <x:v>构造阶段复用缓存，搜索阶段仅调用一次查询 Embedding。</x:v>
      </x:c>
      <x:c r="G68" s="49" t="str">
        <x:v>每次启动仍重复编码 1098 个 Chunk，持久化缓存无法降低冷启动成本。</x:v>
      </x:c>
      <x:c r="H68" s="52" t="str">
        <x:v>通过</x:v>
      </x:c>
      <x:c r="I68" s="55" t="n">
        <x:v>0.002</x:v>
      </x:c>
      <x:c r="J68" s="58" t="str">
        <x:v>已登记</x:v>
      </x:c>
    </x:row>
    <x:row r="69" ht="171.60000610351562" hidden="0" customHeight="1">
      <x:c r="A69" s="42" t="n">
        <x:v>65</x:v>
      </x:c>
      <x:c r="B69" s="49" t="str">
        <x:v>tests/test_local_rag_dense_cache_compare.py</x:v>
      </x:c>
      <x:c r="C69" s="49" t="str">
        <x:v>test_dense_cache_comparison_requires_same_quality_and_faster_warm_build</x:v>
      </x:c>
      <x:c r="D69" s="49" t="str">
        <x:v>默认场景</x:v>
      </x:c>
      <x:c r="E69" s="49" t="str">
        <x:v>验证 Dense 缓存只有在冷启动未命中、热启动命中、质量完全一致且建库耗时下降超过 99% 时才通过。</x:v>
      </x:c>
      <x:c r="F69" s="49" t="str">
        <x:v>缓存被确认只改变启动成本，不改变 Recall、MRR、nDCG 或生产开关。</x:v>
      </x:c>
      <x:c r="G69" s="49" t="str">
        <x:v>缓存可能悄悄改变排序结果，或速度收益不足却被错误判定为可用。</x:v>
      </x:c>
      <x:c r="H69" s="52" t="str">
        <x:v>通过</x:v>
      </x:c>
      <x:c r="I69" s="55" t="n">
        <x:v>0.071</x:v>
      </x:c>
      <x:c r="J69" s="58" t="str">
        <x:v>已登记</x:v>
      </x:c>
    </x:row>
    <x:row r="70" ht="211.1999969482422" hidden="0" customHeight="1">
      <x:c r="A70" s="42" t="n">
        <x:v>66</x:v>
      </x:c>
      <x:c r="B70" s="49" t="str">
        <x:v>tests/test_local_rag_dense_compare.py</x:v>
      </x:c>
      <x:c r="C70" s="49" t="str">
        <x:v>test_dense_comparison_uses_holdout_quality_and_keeps_production_off</x:v>
      </x:c>
      <x:c r="D70" s="49" t="str">
        <x:v>默认场景</x:v>
      </x:c>
      <x:c r="E70" s="49" t="str">
        <x:v>验证 Dense 晋升判断以独立保留集质量为依据，并与生产默认开关分离。</x:v>
      </x:c>
      <x:c r="F70" s="49" t="str">
        <x:v>保留集 Recall@5 提升 20 个百分点且 nDCG 为正，但存在 3 个逐题回归，超过最多 2 个的门槛，因此候选晋升和生产默认均保持关闭。</x:v>
      </x:c>
      <x:c r="G70" s="49" t="str">
        <x:v>系统可能再次依据开发集拟合晋升，或未经重复验证就直接改动生产检索路径。</x:v>
      </x:c>
      <x:c r="H70" s="52" t="str">
        <x:v>通过</x:v>
      </x:c>
      <x:c r="I70" s="55" t="n">
        <x:v>32.041</x:v>
      </x:c>
      <x:c r="J70" s="58" t="str">
        <x:v>已登记</x:v>
      </x:c>
    </x:row>
    <x:row r="71" ht="171.60000610351562" hidden="0" customHeight="1">
      <x:c r="A71" s="42" t="n">
        <x:v>67</x:v>
      </x:c>
      <x:c r="B71" s="49" t="str">
        <x:v>tests/test_local_rag_dense_model_compare.py</x:v>
      </x:c>
      <x:c r="C71" s="49" t="str">
        <x:v>test_dense_model_comparison_prefers_quality_gain_without_excess_regression</x:v>
      </x:c>
      <x:c r="D71" s="49" t="str">
        <x:v>默认场景</x:v>
      </x:c>
      <x:c r="E71" s="49" t="str">
        <x:v>验证第二 Dense 模型只有在保留集 nDCG 提升、Recall 不下降且逐题回归不超过 2 个时才成为首选候选。</x:v>
      </x:c>
      <x:c r="F71" s="49" t="str">
        <x:v>模型候选可以晋升，但生产默认开关仍独立保持关闭。</x:v>
      </x:c>
      <x:c r="G71" s="49" t="str">
        <x:v>只看平均指标或速度可能掩盖逐题回归，或者把模型候选误当成生产上线。</x:v>
      </x:c>
      <x:c r="H71" s="52" t="str">
        <x:v>通过</x:v>
      </x:c>
      <x:c r="I71" s="55" t="n">
        <x:v>0.039</x:v>
      </x:c>
      <x:c r="J71" s="58" t="str">
        <x:v>已登记</x:v>
      </x:c>
    </x:row>
    <x:row r="72" ht="158.39999389648438" hidden="0" customHeight="1">
      <x:c r="A72" s="42" t="n">
        <x:v>68</x:v>
      </x:c>
      <x:c r="B72" s="49" t="str">
        <x:v>tests/test_local_rag_dense_models.py</x:v>
      </x:c>
      <x:c r="C72" s="49" t="str">
        <x:v>test_dense_model_matrix_changes_only_declared_embedding_properties</x:v>
      </x:c>
      <x:c r="D72" s="49" t="str">
        <x:v>默认场景</x:v>
      </x:c>
      <x:c r="E72" s="49" t="str">
        <x:v>验证第二 Dense 模型通过同一评测入口配置，只声明模型自身的维度、输入长度、池化和配置身份差异。</x:v>
      </x:c>
      <x:c r="F72" s="49" t="str">
        <x:v>MiniLM 与 MPNet 共用语料、Chunker、相似度、缓存和指标逻辑，未知模型被拒绝。</x:v>
      </x:c>
      <x:c r="G72" s="49" t="str">
        <x:v>复制评测代码或接受任意模型可能引入口径漂移，使模型质量对比失去单变量意义。</x:v>
      </x:c>
      <x:c r="H72" s="52" t="str">
        <x:v>通过</x:v>
      </x:c>
      <x:c r="I72" s="55" t="n">
        <x:v>0.908</x:v>
      </x:c>
      <x:c r="J72" s="58" t="str">
        <x:v>已登记</x:v>
      </x:c>
    </x:row>
    <x:row r="73" ht="198" hidden="0" customHeight="1">
      <x:c r="A73" s="42" t="n">
        <x:v>69</x:v>
      </x:c>
      <x:c r="B73" s="49" t="str">
        <x:v>tests/test_local_rag_dense_stability.py</x:v>
      </x:c>
      <x:c r="C73" s="49" t="str">
        <x:v>test_dense_stability_requires_three_deterministic_warm_processes</x:v>
      </x:c>
      <x:c r="D73" s="49" t="str">
        <x:v>默认场景</x:v>
      </x:c>
      <x:c r="E73" s="49" t="str">
        <x:v>验证 Dense 稳定性晋升至少需要三个独立热启动进程，并同时满足缓存命中、质量一致、Top-5 与分数确定性和延迟波动门槛。</x:v>
      </x:c>
      <x:c r="F73" s="49" t="str">
        <x:v>三个运行的检索结果完全一致，查询延迟变异系数不超过 50%，但生产开关仍保持关闭。</x:v>
      </x:c>
      <x:c r="G73" s="49" t="str">
        <x:v>单次偶然结果或不稳定排名可能被错误当成可复现能力，导致后续模型对照失去公平基线。</x:v>
      </x:c>
      <x:c r="H73" s="52" t="str">
        <x:v>通过</x:v>
      </x:c>
      <x:c r="I73" s="55" t="n">
        <x:v>0.048</x:v>
      </x:c>
      <x:c r="J73" s="58" t="str">
        <x:v>已登记</x:v>
      </x:c>
    </x:row>
    <x:row r="74" ht="145.1999969482422" hidden="0" customHeight="1">
      <x:c r="A74" s="42" t="n">
        <x:v>70</x:v>
      </x:c>
      <x:c r="B74" s="49" t="str">
        <x:v>tests/test_local_rag_dense_stability.py</x:v>
      </x:c>
      <x:c r="C74" s="49" t="str">
        <x:v>test_dense_stability_rejects_mixed_or_unexpected_models</x:v>
      </x:c>
      <x:c r="D74" s="49" t="str">
        <x:v>默认场景</x:v>
      </x:c>
      <x:c r="E74" s="49" t="str">
        <x:v>验证稳定性评测拒绝混入其他 Embedding 模型或不符合预期模型身份的运行文件。</x:v>
      </x:c>
      <x:c r="F74" s="49" t="str">
        <x:v>只有全部运行来自同一指定模型时，稳定性才可能通过。</x:v>
      </x:c>
      <x:c r="G74" s="49" t="str">
        <x:v>MiniLM 与 MPNet 结果误混可能制造虚假的稳定性结论或错误的耗时统计。</x:v>
      </x:c>
      <x:c r="H74" s="52" t="str">
        <x:v>通过</x:v>
      </x:c>
      <x:c r="I74" s="55" t="n">
        <x:v>0.026</x:v>
      </x:c>
      <x:c r="J74" s="58" t="str">
        <x:v>已登记</x:v>
      </x:c>
    </x:row>
    <x:row r="75" ht="171.60000610351562" hidden="0" customHeight="1">
      <x:c r="A75" s="42" t="n">
        <x:v>71</x:v>
      </x:c>
      <x:c r="B75" s="49" t="str">
        <x:v>tests/test_local_rag_dense_stability_compare.py</x:v>
      </x:c>
      <x:c r="C75" s="49" t="str">
        <x:v>test_stability_comparison_preserves_failed_candidate_decision</x:v>
      </x:c>
      <x:c r="D75" s="49" t="str">
        <x:v>默认场景</x:v>
      </x:c>
      <x:c r="E75" s="49" t="str">
        <x:v>验证 MiniLM/MPNet 稳定性并列比较保留 MPNet 的失败判定，不因平均质量收益或模型间比值覆盖原始闸门。</x:v>
      </x:c>
      <x:c r="F75" s="49" t="str">
        <x:v>报告展示性能倍数，但 MPNet CV 超限时仍保持稳定性未通过和生产关闭。</x:v>
      </x:c>
      <x:c r="G75" s="49" t="str">
        <x:v>跨模型汇总可能错误抹平单模型波动，使失败候选绕过稳定性门槛。</x:v>
      </x:c>
      <x:c r="H75" s="52" t="str">
        <x:v>通过</x:v>
      </x:c>
      <x:c r="I75" s="55" t="n">
        <x:v>0.015</x:v>
      </x:c>
      <x:c r="J75" s="58" t="str">
        <x:v>已登记</x:v>
      </x:c>
    </x:row>
    <x:row r="76" ht="92.4000015258789" hidden="0" customHeight="1">
      <x:c r="A76" s="42" t="n">
        <x:v>72</x:v>
      </x:c>
      <x:c r="B76" s="49" t="str">
        <x:v>tests/test_local_rag_foundation.py</x:v>
      </x:c>
      <x:c r="C76" s="49" t="str">
        <x:v>test_fixed_window_chunker_preserves_page_and_overlap</x:v>
      </x:c>
      <x:c r="D76" s="49" t="str">
        <x:v>默认场景</x:v>
      </x:c>
      <x:c r="E76" s="49" t="str">
        <x:v>验证固定窗口分块保留页码、字符位置和配置的重叠区间。</x:v>
      </x:c>
      <x:c r="F76" s="49" t="str">
        <x:v>分块文本和 char_start 正确，所有片段仍定位到原 PDF 页。</x:v>
      </x:c>
      <x:c r="G76" s="49" t="str">
        <x:v>全文检索结果可能无法回溯页码，或分块边界丢失上下文。</x:v>
      </x:c>
      <x:c r="H76" s="52" t="str">
        <x:v>通过</x:v>
      </x:c>
      <x:c r="I76" s="55" t="n">
        <x:v>0.001</x:v>
      </x:c>
      <x:c r="J76" s="58" t="str">
        <x:v>已登记</x:v>
      </x:c>
    </x:row>
    <x:row r="77" ht="105.5999984741211" hidden="0" customHeight="1">
      <x:c r="A77" s="42" t="n">
        <x:v>73</x:v>
      </x:c>
      <x:c r="B77" s="49" t="str">
        <x:v>tests/test_local_rag_foundation.py</x:v>
      </x:c>
      <x:c r="C77" s="49" t="str">
        <x:v>test_fixed_window_chunker_rejects_invalid_parameters</x:v>
      </x:c>
      <x:c r="D77" s="49" t="str">
        <x:v>默认场景</x:v>
      </x:c>
      <x:c r="E77" s="49" t="str">
        <x:v>验证重叠长度不能等于或超过分块长度。</x:v>
      </x:c>
      <x:c r="F77" s="49" t="str">
        <x:v>非法参数触发 ValueError，避免零步长或无限循环。</x:v>
      </x:c>
      <x:c r="G77" s="49" t="str">
        <x:v>错误 Chunk 配置可能造成挂起、重复片段或不可控索引体积。</x:v>
      </x:c>
      <x:c r="H77" s="52" t="str">
        <x:v>通过</x:v>
      </x:c>
      <x:c r="I77" s="55" t="n">
        <x:v>0.001</x:v>
      </x:c>
      <x:c r="J77" s="58" t="str">
        <x:v>已登记</x:v>
      </x:c>
    </x:row>
    <x:row r="78" ht="118.80000305175781" hidden="0" customHeight="1">
      <x:c r="A78" s="42" t="n">
        <x:v>74</x:v>
      </x:c>
      <x:c r="B78" s="49" t="str">
        <x:v>tests/test_local_rag_foundation.py</x:v>
      </x:c>
      <x:c r="C78" s="49" t="str">
        <x:v>test_manifest_rebuilds_only_for_content_or_processing_version_change</x:v>
      </x:c>
      <x:c r="D78" s="49" t="str">
        <x:v>默认场景</x:v>
      </x:c>
      <x:c r="E78" s="49" t="str">
        <x:v>验证知识库只在 PDF 内容、Parser 或 Chunker 版本变化时局部重建。</x:v>
      </x:c>
      <x:c r="F78" s="49" t="str">
        <x:v>相同哈希与版本跳过，内容或处理版本变化触发 rebuild。</x:v>
      </x:c>
      <x:c r="G78" s="49" t="str">
        <x:v>每次更新可能全库重建，或变化论文没有刷新造成旧证据。</x:v>
      </x:c>
      <x:c r="H78" s="52" t="str">
        <x:v>通过</x:v>
      </x:c>
      <x:c r="I78" s="55" t="n">
        <x:v>0.05</x:v>
      </x:c>
      <x:c r="J78" s="58" t="str">
        <x:v>已登记</x:v>
      </x:c>
    </x:row>
    <x:row r="79" ht="92.4000015258789" hidden="0" customHeight="1">
      <x:c r="A79" s="42" t="n">
        <x:v>75</x:v>
      </x:c>
      <x:c r="B79" s="49" t="str">
        <x:v>tests/test_local_rag_foundation.py</x:v>
      </x:c>
      <x:c r="C79" s="49" t="str">
        <x:v>test_manifest_writer_keeps_corpus_version_and_status</x:v>
      </x:c>
      <x:c r="D79" s="49" t="str">
        <x:v>默认场景</x:v>
      </x:c>
      <x:c r="E79" s="49" t="str">
        <x:v>验证语料清单记录 corpus_version 和每篇论文的处理状态。</x:v>
      </x:c>
      <x:c r="F79" s="49" t="str">
        <x:v>JSON 清单可读，版本和 pending 状态完整保存。</x:v>
      </x:c>
      <x:c r="G79" s="49" t="str">
        <x:v>知识库更新可能失去语料版本与处理进度，无法复现实验。</x:v>
      </x:c>
      <x:c r="H79" s="52" t="str">
        <x:v>通过</x:v>
      </x:c>
      <x:c r="I79" s="55" t="n">
        <x:v>0.034</x:v>
      </x:c>
      <x:c r="J79" s="58" t="str">
        <x:v>已登记</x:v>
      </x:c>
    </x:row>
    <x:row r="80" ht="118.80000305175781" hidden="0" customHeight="1">
      <x:c r="A80" s="42" t="n">
        <x:v>76</x:v>
      </x:c>
      <x:c r="B80" s="49" t="str">
        <x:v>tests/test_local_rag_query_rewrite.py</x:v>
      </x:c>
      <x:c r="C80" s="49" t="str">
        <x:v>test_query_expansion_preserves_original_and_adds_auditable_terms</x:v>
      </x:c>
      <x:c r="D80" s="49" t="str">
        <x:v>默认场景</x:v>
      </x:c>
      <x:c r="E80" s="49" t="str">
        <x:v>验证规则查询扩展保留原问题，并把命中的中文科研术语追加为可审计英文术语。</x:v>
      </x:c>
      <x:c r="F80" s="49" t="str">
        <x:v>短期记忆和长期记忆分别扩展为对应英文表达，且返回明确的来源到目标映射。</x:v>
      </x:c>
      <x:c r="G80" s="49" t="str">
        <x:v>查询可能丢失用户原意、产生不可追踪改写，或无法跨越中英文词汇鸿沟。</x:v>
      </x:c>
      <x:c r="H80" s="52" t="str">
        <x:v>通过</x:v>
      </x:c>
      <x:c r="I80" s="55" t="n">
        <x:v>0.002</x:v>
      </x:c>
      <x:c r="J80" s="58" t="str">
        <x:v>已登记</x:v>
      </x:c>
    </x:row>
    <x:row r="81" ht="118.80000305175781" hidden="0" customHeight="1">
      <x:c r="A81" s="42" t="n">
        <x:v>77</x:v>
      </x:c>
      <x:c r="B81" s="49" t="str">
        <x:v>tests/test_local_rag_query_rewrite.py</x:v>
      </x:c>
      <x:c r="C81" s="49" t="str">
        <x:v>test_query_expansion_is_deterministic_and_leaves_unknown_query_unchanged</x:v>
      </x:c>
      <x:c r="D81" s="49" t="str">
        <x:v>默认场景</x:v>
      </x:c>
      <x:c r="E81" s="49" t="str">
        <x:v>验证未登记术语不被猜测改写，并且相同输入的扩展结果完全一致。</x:v>
      </x:c>
      <x:c r="F81" s="49" t="str">
        <x:v>未知问题原样返回，已知术语重复运行得到相同查询和匹配记录。</x:v>
      </x:c>
      <x:c r="G81" s="49" t="str">
        <x:v>规则可能过度改写未知问题或产生不稳定结果，使 A/B 对照不可复现。</x:v>
      </x:c>
      <x:c r="H81" s="52" t="str">
        <x:v>通过</x:v>
      </x:c>
      <x:c r="I81" s="55" t="n">
        <x:v>0.002</x:v>
      </x:c>
      <x:c r="J81" s="58" t="str">
        <x:v>已登记</x:v>
      </x:c>
    </x:row>
    <x:row r="82" ht="132" hidden="0" customHeight="1">
      <x:c r="A82" s="42" t="n">
        <x:v>78</x:v>
      </x:c>
      <x:c r="B82" s="49" t="str">
        <x:v>tests/test_local_rag_rewrite_ab.py</x:v>
      </x:c>
      <x:c r="C82" s="49" t="str">
        <x:v>test_holdout_ab_detects_rank_regression_when_recall_at_five_is_unchanged</x:v>
      </x:c>
      <x:c r="D82" s="49" t="str">
        <x:v>默认场景</x:v>
      </x:c>
      <x:c r="E82" s="49" t="str">
        <x:v>验证查询扩展即使保持 Recall@5，也会因相关证据排名下降而被标记为逐题回归。</x:v>
      </x:c>
      <x:c r="F82" s="49" t="str">
        <x:v>保留集 Recall@5 差值为 0、nDCG@5 差值为负，且至少记录一个 regressed 用例。</x:v>
      </x:c>
      <x:c r="G82" s="49" t="str">
        <x:v>逐题结论可能只看是否进入 Top5，掩盖证据从前排下滑的真实排序损失。</x:v>
      </x:c>
      <x:c r="H82" s="52" t="str">
        <x:v>通过</x:v>
      </x:c>
      <x:c r="I82" s="55" t="n">
        <x:v>30.915</x:v>
      </x:c>
      <x:c r="J82" s="58" t="str">
        <x:v>已登记</x:v>
      </x:c>
    </x:row>
    <x:row r="83" ht="132" hidden="0" customHeight="1">
      <x:c r="A83" s="42" t="n">
        <x:v>79</x:v>
      </x:c>
      <x:c r="B83" s="49" t="str">
        <x:v>tests/test_low_quality_generation.py</x:v>
      </x:c>
      <x:c r="C83" s="49" t="str">
        <x:v>test_low_quality_stop_returns_evidence_safe_answer_without_llm</x:v>
      </x:c>
      <x:c r="D83" s="49" t="str">
        <x:v>默认场景</x:v>
      </x:c>
      <x:c r="E83" s="49" t="str">
        <x:v>验证第二轮仍低质量时跳过大模型并返回证据安全的降级答复。</x:v>
      </x:c>
      <x:c r="F83" s="49" t="str">
        <x:v>回答明确标记证据不足、列出待核验候选，generation_skipped 为真且无 LLM 调用。</x:v>
      </x:c>
      <x:c r="G83" s="49" t="str">
        <x:v>系统可能把低质量证据包装成确定结论，并继续浪费生成 Token。</x:v>
      </x:c>
      <x:c r="H83" s="52" t="str">
        <x:v>通过</x:v>
      </x:c>
      <x:c r="I83" s="55" t="n">
        <x:v>0.002</x:v>
      </x:c>
      <x:c r="J83" s="58" t="str">
        <x:v>已登记</x:v>
      </x:c>
    </x:row>
    <x:row r="84" ht="79.19999694824219" hidden="0" customHeight="1">
      <x:c r="A84" s="42" t="n">
        <x:v>80</x:v>
      </x:c>
      <x:c r="B84" s="49" t="str">
        <x:v>tests/test_low_quality_generation.py</x:v>
      </x:c>
      <x:c r="C84" s="49" t="str">
        <x:v>test_accepted_retrieval_keeps_normal_generation_path</x:v>
      </x:c>
      <x:c r="D84" s="49" t="str">
        <x:v>默认场景</x:v>
      </x:c>
      <x:c r="E84" s="49" t="str">
        <x:v>验证质量通过的检索仍走原有 Skill/生成路径。</x:v>
      </x:c>
      <x:c r="F84" s="49" t="str">
        <x:v>accepted 状态正常执行技能并返回原回答。</x:v>
      </x:c>
      <x:c r="G84" s="49" t="str">
        <x:v>质量闸门可能误拦截正常任务，造成不必要降级。</x:v>
      </x:c>
      <x:c r="H84" s="52" t="str">
        <x:v>通过</x:v>
      </x:c>
      <x:c r="I84" s="55" t="n">
        <x:v>0.002</x:v>
      </x:c>
      <x:c r="J84" s="58" t="str">
        <x:v>已登记</x:v>
      </x:c>
    </x:row>
    <x:row r="85" ht="118.80000305175781" hidden="0" customHeight="1">
      <x:c r="A85" s="42" t="n">
        <x:v>81</x:v>
      </x:c>
      <x:c r="B85" s="49" t="str">
        <x:v>tests/test_low_quality_generation.py</x:v>
      </x:c>
      <x:c r="C85" s="49" t="str">
        <x:v>test_metrics_records_recovery_budget_and_generation_mode</x:v>
      </x:c>
      <x:c r="D85" s="49" t="str">
        <x:v>默认场景</x:v>
      </x:c>
      <x:c r="E85" s="49" t="str">
        <x:v>验证指标记录检索恢复、预算耗尽、回答模式和生成跳过状态。</x:v>
      </x:c>
      <x:c r="F85" s="49" t="str">
        <x:v>预算耗尽为真、恢复为假，answer_mode 与 generation_skipped 正确写入。</x:v>
      </x:c>
      <x:c r="G85" s="49" t="str">
        <x:v>降级行为可能无法审计，后续无法比较 Replan、Reflection 与普通重试。</x:v>
      </x:c>
      <x:c r="H85" s="52" t="str">
        <x:v>通过</x:v>
      </x:c>
      <x:c r="I85" s="55" t="n">
        <x:v>0.004</x:v>
      </x:c>
      <x:c r="J85" s="58" t="str">
        <x:v>已登记</x:v>
      </x:c>
    </x:row>
    <x:row r="86" ht="118.80000305175781" hidden="0" customHeight="1">
      <x:c r="A86" s="42" t="n">
        <x:v>82</x:v>
      </x:c>
      <x:c r="B86" s="49" t="str">
        <x:v>tests/test_multi_source_retrieval.py</x:v>
      </x:c>
      <x:c r="C86" s="49" t="str">
        <x:v>test_multi_source_retrieval_calls_both_tools_and_deduplicates_by_doi</x:v>
      </x:c>
      <x:c r="D86" s="49" t="str">
        <x:v>默认场景</x:v>
      </x:c>
      <x:c r="E86" s="49" t="str">
        <x:v>验证 multi 模式调用 arXiv 与 OpenAlex，并按 DOI 合并重复论文。</x:v>
      </x:c>
      <x:c r="F86" s="49" t="str">
        <x:v>两个 Tool 都执行，三条原始记录合并为两篇并记录一次去重。</x:v>
      </x:c>
      <x:c r="G86" s="49" t="str">
        <x:v>多源模式可能只调用一个来源、保留重复论文或统计不一致。</x:v>
      </x:c>
      <x:c r="H86" s="52" t="str">
        <x:v>通过</x:v>
      </x:c>
      <x:c r="I86" s="55" t="n">
        <x:v>0.004</x:v>
      </x:c>
      <x:c r="J86" s="58" t="str">
        <x:v>已登记</x:v>
      </x:c>
    </x:row>
    <x:row r="87" ht="118.80000305175781" hidden="0" customHeight="1">
      <x:c r="A87" s="42" t="n">
        <x:v>83</x:v>
      </x:c>
      <x:c r="B87" s="49" t="str">
        <x:v>tests/test_multi_source_retrieval.py</x:v>
      </x:c>
      <x:c r="C87" s="49" t="str">
        <x:v>test_multi_source_retrieval_keeps_success_when_one_provider_fails</x:v>
      </x:c>
      <x:c r="D87" s="49" t="str">
        <x:v>默认场景</x:v>
      </x:c>
      <x:c r="E87" s="49" t="str">
        <x:v>验证一个论文来源超时时，多源检索仍使用另一个成功来源。</x:v>
      </x:c>
      <x:c r="F87" s="49" t="str">
        <x:v>保留 OpenAlex 论文和 arXiv TIMEOUT 明细，不错误触发静态兜底。</x:v>
      </x:c>
      <x:c r="G87" s="49" t="str">
        <x:v>局部数据源故障可能拖垮整个检索，或掩盖成功结果与失败原因。</x:v>
      </x:c>
      <x:c r="H87" s="52" t="str">
        <x:v>通过</x:v>
      </x:c>
      <x:c r="I87" s="55" t="n">
        <x:v>0.002</x:v>
      </x:c>
      <x:c r="J87" s="58" t="str">
        <x:v>已登记</x:v>
      </x:c>
    </x:row>
    <x:row r="88" ht="118.80000305175781" hidden="0" customHeight="1">
      <x:c r="A88" s="42" t="n">
        <x:v>84</x:v>
      </x:c>
      <x:c r="B88" s="49" t="str">
        <x:v>tests/test_multi_source_retrieval.py</x:v>
      </x:c>
      <x:c r="C88" s="49" t="str">
        <x:v>test_multi_source_retrieval_uses_reranker_only_when_feature_flag_is_enabled</x:v>
      </x:c>
      <x:c r="D88" s="49" t="str">
        <x:v>默认场景</x:v>
      </x:c>
      <x:c r="E88" s="49" t="str">
        <x:v>验证跨来源重排只有在功能开关开启时接入真实 multi 检索流程。</x:v>
      </x:c>
      <x:c r="F88" s="49" t="str">
        <x:v>OpenAlex 高相关候选升到首位，并记录确定性重排策略和完整候选数。</x:v>
      </x:c>
      <x:c r="G88" s="49" t="str">
        <x:v>重排器可能没有进入运行时，或无法通过开关安全回滚到原有合并策略。</x:v>
      </x:c>
      <x:c r="H88" s="52" t="str">
        <x:v>通过</x:v>
      </x:c>
      <x:c r="I88" s="55" t="n">
        <x:v>0.002</x:v>
      </x:c>
      <x:c r="J88" s="58" t="str">
        <x:v>已登记</x:v>
      </x:c>
    </x:row>
    <x:row r="89" ht="145.1999969482422" hidden="0" customHeight="1">
      <x:c r="A89" s="42" t="n">
        <x:v>85</x:v>
      </x:c>
      <x:c r="B89" s="49" t="str">
        <x:v>tests/test_multi_source_retrieval.py</x:v>
      </x:c>
      <x:c r="C89" s="49" t="str">
        <x:v>test_multi_source_metadata_verification_can_quarantine_unsafe_record</x:v>
      </x:c>
      <x:c r="D89" s="49" t="str">
        <x:v>默认场景</x:v>
      </x:c>
      <x:c r="E89" s="49" t="str">
        <x:v>验证权威元数据校验开关接入真实多来源检索并隔离低可信身份记录。</x:v>
      </x:c>
      <x:c r="F89" s="49" t="str">
        <x:v>不相关标题与未经原生来源确认的 arXiv DOI 被移出候选，同时输出 v2 策略和隔离计数。</x:v>
      </x:c>
      <x:c r="G89" s="49" t="str">
        <x:v>校验器可能只在评测中生效而没有保护正式 LangGraph 检索流程，或关闭后无法回滚。</x:v>
      </x:c>
      <x:c r="H89" s="52" t="str">
        <x:v>通过</x:v>
      </x:c>
      <x:c r="I89" s="55" t="n">
        <x:v>0.002</x:v>
      </x:c>
      <x:c r="J89" s="58" t="str">
        <x:v>已登记</x:v>
      </x:c>
    </x:row>
    <x:row r="90" ht="132" hidden="0" customHeight="1">
      <x:c r="A90" s="42" t="n">
        <x:v>86</x:v>
      </x:c>
      <x:c r="B90" s="49" t="str">
        <x:v>tests/test_multi_source_retrieval.py</x:v>
      </x:c>
      <x:c r="C90" s="49" t="str">
        <x:v>test_arxiv_authority_switch_is_independent_from_legacy_metadata_gate</x:v>
      </x:c>
      <x:c r="D90" s="49" t="str">
        <x:v>默认场景</x:v>
      </x:c>
      <x:c r="E90" s="49" t="str">
        <x:v>验证 arXiv 原生身份验证可独立于旧版词法元数据开关受控启用。</x:v>
      </x:c>
      <x:c r="F90" s="49" t="str">
        <x:v>旧 v2 开关关闭时，独立开关仍能注入原生证据、修复标题并记录 lookup 工具。</x:v>
      </x:c>
      <x:c r="G90" s="49" t="str">
        <x:v>已通过三快照门槛的 v3 可能被旧综合开关绑定，无法安全灰度或单独回滚。</x:v>
      </x:c>
      <x:c r="H90" s="52" t="str">
        <x:v>通过</x:v>
      </x:c>
      <x:c r="I90" s="55" t="n">
        <x:v>0.002</x:v>
      </x:c>
      <x:c r="J90" s="58" t="str">
        <x:v>已登记</x:v>
      </x:c>
    </x:row>
    <x:row r="91" ht="105.5999984741211" hidden="0" customHeight="1">
      <x:c r="A91" s="42" t="n">
        <x:v>87</x:v>
      </x:c>
      <x:c r="B91" s="49" t="str">
        <x:v>tests/test_multi_source_retrieval.py</x:v>
      </x:c>
      <x:c r="C91" s="49" t="str">
        <x:v>test_doi_authority_switch_loads_crossref_without_legacy_gate</x:v>
      </x:c>
      <x:c r="D91" s="49" t="str">
        <x:v>默认场景</x:v>
      </x:c>
      <x:c r="E91" s="49" t="str">
        <x:v>验证 DOI authority 可通过独立开关接入生产多源重排。</x:v>
      </x:c>
      <x:c r="F91" s="49" t="str">
        <x:v>旧元数据开关关闭时仍可加载 Crossref 证据并修复污染标题。</x:v>
      </x:c>
      <x:c r="G91" s="49" t="str">
        <x:v>普通 DOI 校验可能与旧综合开关耦合，无法单独灰度或回滚。</x:v>
      </x:c>
      <x:c r="H91" s="52" t="str">
        <x:v>通过</x:v>
      </x:c>
      <x:c r="I91" s="55" t="n">
        <x:v>0.001</x:v>
      </x:c>
      <x:c r="J91" s="58" t="str">
        <x:v>已登记</x:v>
      </x:c>
    </x:row>
    <x:row r="92" ht="105.5999984741211" hidden="0" customHeight="1">
      <x:c r="A92" s="42" t="n">
        <x:v>88</x:v>
      </x:c>
      <x:c r="B92" s="49" t="str">
        <x:v>tests/test_multi_source_retrieval.py</x:v>
      </x:c>
      <x:c r="C92" s="49" t="str">
        <x:v>test_failed_crossref_lookup_is_not_cached_or_negative_evidence</x:v>
      </x:c>
      <x:c r="D92" s="49" t="str">
        <x:v>默认场景</x:v>
      </x:c>
      <x:c r="E92" s="49" t="str">
        <x:v>验证 Crossref 超时不会缓存或形成 DOI 负证据。</x:v>
      </x:c>
      <x:c r="F92" s="49" t="str">
        <x:v>失败被记录到工具执行明细，authority 索引和缓存保持为空。</x:v>
      </x:c>
      <x:c r="G92" s="49" t="str">
        <x:v>临时网络失败可能永久污染身份结论并误伤论文。</x:v>
      </x:c>
      <x:c r="H92" s="52" t="str">
        <x:v>通过</x:v>
      </x:c>
      <x:c r="I92" s="55" t="n">
        <x:v>0.009</x:v>
      </x:c>
      <x:c r="J92" s="58" t="str">
        <x:v>已登记</x:v>
      </x:c>
    </x:row>
    <x:row r="93" ht="92.4000015258789" hidden="0" customHeight="1">
      <x:c r="A93" s="42" t="n">
        <x:v>89</x:v>
      </x:c>
      <x:c r="B93" s="49" t="str">
        <x:v>tests/test_openalex_tool.py</x:v>
      </x:c>
      <x:c r="C93" s="49" t="str">
        <x:v>test_reconstruct_abstract_orders_openalex_inverted_positions</x:v>
      </x:c>
      <x:c r="D93" s="49" t="str">
        <x:v>默认场景</x:v>
      </x:c>
      <x:c r="E93" s="49" t="str">
        <x:v>验证 OpenAlex 倒排摘要能够按照词位还原为可读文本。</x:v>
      </x:c>
      <x:c r="F93" s="49" t="str">
        <x:v>乱序词典被恢复为正确句子，缺失摘要安全返回空串。</x:v>
      </x:c>
      <x:c r="G93" s="49" t="str">
        <x:v>论文摘要可能词序错乱，污染相关性评分和最终答案。</x:v>
      </x:c>
      <x:c r="H93" s="52" t="str">
        <x:v>通过</x:v>
      </x:c>
      <x:c r="I93" s="55" t="n">
        <x:v>0.002</x:v>
      </x:c>
      <x:c r="J93" s="58" t="str">
        <x:v>已登记</x:v>
      </x:c>
    </x:row>
    <x:row r="94" ht="132" hidden="0" customHeight="1">
      <x:c r="A94" s="42" t="n">
        <x:v>90</x:v>
      </x:c>
      <x:c r="B94" s="49" t="str">
        <x:v>tests/test_openalex_tool.py</x:v>
      </x:c>
      <x:c r="C94" s="49" t="str">
        <x:v>test_normalize_openalex_work_maps_stable_paper_fields</x:v>
      </x:c>
      <x:c r="D94" s="49" t="str">
        <x:v>默认场景</x:v>
      </x:c>
      <x:c r="E94" s="49" t="str">
        <x:v>验证 OpenAlex Work 的作者、摘要、链接、DOI 和引用数映射到统一论文结构。</x:v>
      </x:c>
      <x:c r="F94" s="49" t="str">
        <x:v>嵌套 API 字段被完整转换，来源明确标记为 openalex。</x:v>
      </x:c>
      <x:c r="G94" s="49" t="str">
        <x:v>多数据源字段可能丢失或以不一致结构进入 LangGraph。</x:v>
      </x:c>
      <x:c r="H94" s="52" t="str">
        <x:v>通过</x:v>
      </x:c>
      <x:c r="I94" s="55" t="n">
        <x:v>0.002</x:v>
      </x:c>
      <x:c r="J94" s="58" t="str">
        <x:v>已登记</x:v>
      </x:c>
    </x:row>
    <x:row r="95" ht="132" hidden="0" customHeight="1">
      <x:c r="A95" s="42" t="n">
        <x:v>91</x:v>
      </x:c>
      <x:c r="B95" s="49" t="str">
        <x:v>tests/test_openalex_tool.py</x:v>
      </x:c>
      <x:c r="C95" s="49" t="str">
        <x:v>test_openalex_client_sends_search_limits_identity_and_optional_key</x:v>
      </x:c>
      <x:c r="D95" s="49" t="str">
        <x:v>默认场景</x:v>
      </x:c>
      <x:c r="E95" s="49" t="str">
        <x:v>验证 OpenAlex Client 使用官方 search 参数、数量限制、身份头和可选凭据。</x:v>
      </x:c>
      <x:c r="F95" s="49" t="str">
        <x:v>请求 URL、per-page、API key、mailto、超时和 User-Agent 均符合配置。</x:v>
      </x:c>
      <x:c r="G95" s="49" t="str">
        <x:v>请求可能使用过期参数、泄漏配置或绕过调用预算和超时。</x:v>
      </x:c>
      <x:c r="H95" s="52" t="str">
        <x:v>通过</x:v>
      </x:c>
      <x:c r="I95" s="55" t="n">
        <x:v>0.001</x:v>
      </x:c>
      <x:c r="J95" s="58" t="str">
        <x:v>已登记</x:v>
      </x:c>
    </x:row>
    <x:row r="96" ht="118.80000305175781" hidden="0" customHeight="1">
      <x:c r="A96" s="42" t="n">
        <x:v>92</x:v>
      </x:c>
      <x:c r="B96" s="49" t="str">
        <x:v>tests/test_openalex_tool.py</x:v>
      </x:c>
      <x:c r="C96" s="49" t="str">
        <x:v>test_openalex_client_maps_rate_limit_for_executor_recovery</x:v>
      </x:c>
      <x:c r="D96" s="49" t="str">
        <x:v>默认场景</x:v>
      </x:c>
      <x:c r="E96" s="49" t="str">
        <x:v>验证限流等 HTTP 错误不会被伪装成正常空结果。</x:v>
      </x:c>
      <x:c r="F96" s="49" t="str">
        <x:v>429 被转换成 ToolRateLimitError，交给 Tool Executor 统一重试和记录。</x:v>
      </x:c>
      <x:c r="G96" s="49" t="str">
        <x:v>网络失败可能被误判为无论文，导致无法观测、重试或定位问题。</x:v>
      </x:c>
      <x:c r="H96" s="52" t="str">
        <x:v>通过</x:v>
      </x:c>
      <x:c r="I96" s="55" t="n">
        <x:v>0.002</x:v>
      </x:c>
      <x:c r="J96" s="58" t="str">
        <x:v>已登记</x:v>
      </x:c>
    </x:row>
    <x:row r="97" ht="105.5999984741211" hidden="0" customHeight="1">
      <x:c r="A97" s="42" t="n">
        <x:v>93</x:v>
      </x:c>
      <x:c r="B97" s="49" t="str">
        <x:v>tests/test_openalex_tool.py</x:v>
      </x:c>
      <x:c r="C97" s="49" t="str">
        <x:v>test_openalex_adapter_delegates_to_injected_client</x:v>
      </x:c>
      <x:c r="D97" s="49" t="str">
        <x:v>默认场景</x:v>
      </x:c>
      <x:c r="E97" s="49" t="str">
        <x:v>验证 OpenAlex Adapter 保持统一 Tool 输入并调用可替换 Client。</x:v>
      </x:c>
      <x:c r="F97" s="49" t="str">
        <x:v>查询词和最大数量不变，输出满足统一论文来源约定。</x:v>
      </x:c>
      <x:c r="G97" s="49" t="str">
        <x:v>Adapter 可能篡改参数、耦合网络实现或返回非标准结构。</x:v>
      </x:c>
      <x:c r="H97" s="52" t="str">
        <x:v>通过</x:v>
      </x:c>
      <x:c r="I97" s="55" t="n">
        <x:v>0.002</x:v>
      </x:c>
      <x:c r="J97" s="58" t="str">
        <x:v>已登记</x:v>
      </x:c>
    </x:row>
    <x:row r="98" ht="118.80000305175781" hidden="0" customHeight="1">
      <x:c r="A98" s="42" t="n">
        <x:v>94</x:v>
      </x:c>
      <x:c r="B98" s="49" t="str">
        <x:v>tests/test_openalex_tool.py</x:v>
      </x:c>
      <x:c r="C98" s="49" t="str">
        <x:v>test_default_runtime_registers_and_routes_openalex_tool</x:v>
      </x:c>
      <x:c r="D98" s="49" t="str">
        <x:v>默认场景</x:v>
      </x:c>
      <x:c r="E98" s="49" t="str">
        <x:v>验证默认 Tool Runtime 同时注册并可路由 OpenAlex 原生工具。</x:v>
      </x:c>
      <x:c r="F98" s="49" t="str">
        <x:v>paper.search/openalex 稳定解析到 paper.search.openalex。</x:v>
      </x:c>
      <x:c r="G98" s="49" t="str">
        <x:v>代码虽有 Adapter，但实际 LangGraph 运行时可能无法发现或调用。</x:v>
      </x:c>
      <x:c r="H98" s="52" t="str">
        <x:v>通过</x:v>
      </x:c>
      <x:c r="I98" s="55" t="n">
        <x:v>0.001</x:v>
      </x:c>
      <x:c r="J98" s="58" t="str">
        <x:v>已登记</x:v>
      </x:c>
    </x:row>
    <x:row r="99" ht="105.5999984741211" hidden="0" customHeight="1">
      <x:c r="A99" s="42" t="n">
        <x:v>95</x:v>
      </x:c>
      <x:c r="B99" s="49" t="str">
        <x:v>tests/test_openalex_tool.py</x:v>
      </x:c>
      <x:c r="C99" s="49" t="str">
        <x:v>test_cache_keys_are_isolated_by_paper_source</x:v>
      </x:c>
      <x:c r="D99" s="49" t="str">
        <x:v>默认场景</x:v>
      </x:c>
      <x:c r="E99" s="49" t="str">
        <x:v>验证同一查询在 arXiv 与 OpenAlex 使用独立缓存键。</x:v>
      </x:c>
      <x:c r="F99" s="49" t="str">
        <x:v>来源不同得到不同键，同来源大小写和空格归一化后键保持一致。</x:v>
      </x:c>
      <x:c r="G99" s="49" t="str">
        <x:v>不同数据源的论文可能互相污染缓存并产生虚假命中。</x:v>
      </x:c>
      <x:c r="H99" s="52" t="str">
        <x:v>通过</x:v>
      </x:c>
      <x:c r="I99" s="55" t="n">
        <x:v>0.002</x:v>
      </x:c>
      <x:c r="J99" s="58" t="str">
        <x:v>已登记</x:v>
      </x:c>
    </x:row>
    <x:row r="100" ht="145.1999969482422" hidden="0" customHeight="1">
      <x:c r="A100" s="42" t="n">
        <x:v>96</x:v>
      </x:c>
      <x:c r="B100" s="49" t="str">
        <x:v>tests/test_parallel_multi_query_eval.py</x:v>
      </x:c>
      <x:c r="C100" s="49" t="str">
        <x:v>test_multi_query_parallel_benchmark_reports_gate_and_equivalence</x:v>
      </x:c>
      <x:c r="D100" s="49" t="str">
        <x:v>默认场景</x:v>
      </x:c>
      <x:c r="E100" s="49" t="str">
        <x:v>验证子查询并行基准正确计算性能门槛，并保持结果与规划顺序一致。</x:v>
      </x:c>
      <x:c r="F100" s="49" t="str">
        <x:v>结果与规划顺序一致率为 100%，acceptance_passed 与报告中的速度门槛计算一致。</x:v>
      </x:c>
      <x:c r="G100" s="49" t="str">
        <x:v>基准可能错误计算晋升结论，或并发改变子查询合并语义；墙钟速度由独立 Benchmark 判定。</x:v>
      </x:c>
      <x:c r="H100" s="52" t="str">
        <x:v>通过</x:v>
      </x:c>
      <x:c r="I100" s="55" t="n">
        <x:v>2.357</x:v>
      </x:c>
      <x:c r="J100" s="58" t="str">
        <x:v>已登记</x:v>
      </x:c>
    </x:row>
    <x:row r="101" ht="118.80000305175781" hidden="0" customHeight="1">
      <x:c r="A101" s="42" t="n">
        <x:v>97</x:v>
      </x:c>
      <x:c r="B101" s="49" t="str">
        <x:v>tests/test_parallel_retrieval.py</x:v>
      </x:c>
      <x:c r="C101" s="49" t="str">
        <x:v>test_parallel_retrieval_preserves_configured_source_order</x:v>
      </x:c>
      <x:c r="D101" s="49" t="str">
        <x:v>默认场景</x:v>
      </x:c>
      <x:c r="E101" s="49" t="str">
        <x:v>验证来源完成顺序不同也不会改变配置顺序和合并结果顺序。</x:v>
      </x:c>
      <x:c r="F101" s="49" t="str">
        <x:v>慢 arXiv 与快 OpenAlex 并发完成后仍按 arXiv、OpenAlex 顺序处理。</x:v>
      </x:c>
      <x:c r="G101" s="49" t="str">
        <x:v>线程完成竞态可能导致结果排序和去重行为不可复现。</x:v>
      </x:c>
      <x:c r="H101" s="52" t="str">
        <x:v>通过</x:v>
      </x:c>
      <x:c r="I101" s="55" t="n">
        <x:v>0.039</x:v>
      </x:c>
      <x:c r="J101" s="58" t="str">
        <x:v>已登记</x:v>
      </x:c>
    </x:row>
    <x:row r="102" ht="118.80000305175781" hidden="0" customHeight="1">
      <x:c r="A102" s="42" t="n">
        <x:v>98</x:v>
      </x:c>
      <x:c r="B102" s="49" t="str">
        <x:v>tests/test_parallel_retrieval.py</x:v>
      </x:c>
      <x:c r="C102" s="49" t="str">
        <x:v>test_parallel_retrieval_keeps_partial_success</x:v>
      </x:c>
      <x:c r="D102" s="49" t="str">
        <x:v>默认场景</x:v>
      </x:c>
      <x:c r="E102" s="49" t="str">
        <x:v>验证并行模式下单一来源空结果不影响另一来源成功返回。</x:v>
      </x:c>
      <x:c r="F102" s="49" t="str">
        <x:v>OpenAlex 论文仍进入 multi_source 结果，不错误触发全局兜底。</x:v>
      </x:c>
      <x:c r="G102" s="49" t="str">
        <x:v>一个来源异常可能取消其他来源结果，破坏原有失败恢复语义。</x:v>
      </x:c>
      <x:c r="H102" s="52" t="str">
        <x:v>通过</x:v>
      </x:c>
      <x:c r="I102" s="55" t="n">
        <x:v>0.003</x:v>
      </x:c>
      <x:c r="J102" s="58" t="str">
        <x:v>已登记</x:v>
      </x:c>
    </x:row>
    <x:row r="103" ht="79.19999694824219" hidden="0" customHeight="1">
      <x:c r="A103" s="42" t="n">
        <x:v>99</x:v>
      </x:c>
      <x:c r="B103" s="49" t="str">
        <x:v>tests/test_parallel_retrieval.py</x:v>
      </x:c>
      <x:c r="C103" s="49" t="str">
        <x:v>test_single_source_does_not_create_parallel_pool</x:v>
      </x:c>
      <x:c r="D103" s="49" t="str">
        <x:v>默认场景</x:v>
      </x:c>
      <x:c r="E103" s="49" t="str">
        <x:v>验证单来源检索即使并行开关开启也不创建线程池。</x:v>
      </x:c>
      <x:c r="F103" s="49" t="str">
        <x:v>arXiv 单来源继续走原有直接调用路径。</x:v>
      </x:c>
      <x:c r="G103" s="49" t="str">
        <x:v>简单请求可能承担不必要的线程调度成本。</x:v>
      </x:c>
      <x:c r="H103" s="52" t="str">
        <x:v>通过</x:v>
      </x:c>
      <x:c r="I103" s="55" t="n">
        <x:v>0.002</x:v>
      </x:c>
      <x:c r="J103" s="58" t="str">
        <x:v>已登记</x:v>
      </x:c>
    </x:row>
    <x:row r="104" ht="118.80000305175781" hidden="0" customHeight="1">
      <x:c r="A104" s="42" t="n">
        <x:v>100</x:v>
      </x:c>
      <x:c r="B104" s="49" t="str">
        <x:v>tests/test_parallel_retrieval.py</x:v>
      </x:c>
      <x:c r="C104" s="49" t="str">
        <x:v>test_parallel_benchmark_reports_repeatable_speedup_and_equivalence</x:v>
      </x:c>
      <x:c r="D104" s="49" t="str">
        <x:v>默认场景</x:v>
      </x:c>
      <x:c r="E104" s="49" t="str">
        <x:v>验证来源级并行在重复离线 I/O 实验中稳定降低延迟且保持结果一致。</x:v>
      </x:c>
      <x:c r="F104" s="49" t="str">
        <x:v>至少获得 1.5 倍加速、30% 延迟下降和 100% 结果一致率。</x:v>
      </x:c>
      <x:c r="G104" s="49" t="str">
        <x:v>单次偶然计时可能被误认为稳定性能提升，或并行改变业务结果。</x:v>
      </x:c>
      <x:c r="H104" s="52" t="str">
        <x:v>通过</x:v>
      </x:c>
      <x:c r="I104" s="55" t="n">
        <x:v>1.156</x:v>
      </x:c>
      <x:c r="J104" s="58" t="str">
        <x:v>已登记</x:v>
      </x:c>
    </x:row>
    <x:row r="105" ht="118.80000305175781" hidden="0" customHeight="1">
      <x:c r="A105" s="42" t="n">
        <x:v>101</x:v>
      </x:c>
      <x:c r="B105" s="49" t="str">
        <x:v>tests/test_parallel_retrieval_online.py</x:v>
      </x:c>
      <x:c r="C105" s="49" t="str">
        <x:v>test_online_parallel_ab_reports_latency_equivalence_and_gate</x:v>
      </x:c>
      <x:c r="D105" s="49" t="str">
        <x:v>默认场景</x:v>
      </x:c>
      <x:c r="E105" s="49" t="str">
        <x:v>验证在线串行/并行 A/B 同时记录延迟、结果重合率与晋升门槛。</x:v>
      </x:c>
      <x:c r="F105" s="49" t="str">
        <x:v>请求数、P95、结果重合率和 acceptance_passed 均按成对实验正确计算。</x:v>
      </x:c>
      <x:c r="G105" s="49" t="str">
        <x:v>在线性能结论可能缺少结果等价约束，导致以质量回归换取速度。</x:v>
      </x:c>
      <x:c r="H105" s="52" t="str">
        <x:v>通过</x:v>
      </x:c>
      <x:c r="I105" s="55" t="n">
        <x:v>0.189</x:v>
      </x:c>
      <x:c r="J105" s="58" t="str">
        <x:v>已登记</x:v>
      </x:c>
    </x:row>
    <x:row r="106" ht="92.4000015258789" hidden="0" customHeight="1">
      <x:c r="A106" s="42" t="n">
        <x:v>102</x:v>
      </x:c>
      <x:c r="B106" s="49" t="str">
        <x:v>tests/test_parallel_retrieval_online.py</x:v>
      </x:c>
      <x:c r="C106" s="49" t="str">
        <x:v>test_online_parallel_ab_counts_rate_limit_and_blocks_gate</x:v>
      </x:c>
      <x:c r="D106" s="49" t="str">
        <x:v>默认场景</x:v>
      </x:c>
      <x:c r="E106" s="49" t="str">
        <x:v>验证外部来源限流会被单独统计并阻止并行开关晋升。</x:v>
      </x:c>
      <x:c r="F106" s="49" t="str">
        <x:v>RATE_LIMITED 计数完整，acceptance_passed 为 false。</x:v>
      </x:c>
      <x:c r="G106" s="49" t="str">
        <x:v>并行放大的限流风险可能被速度指标掩盖。</x:v>
      </x:c>
      <x:c r="H106" s="52" t="str">
        <x:v>通过</x:v>
      </x:c>
      <x:c r="I106" s="55" t="n">
        <x:v>0.085</x:v>
      </x:c>
      <x:c r="J106" s="58" t="str">
        <x:v>已登记</x:v>
      </x:c>
    </x:row>
    <x:row r="107" ht="105.5999984741211" hidden="0" customHeight="1">
      <x:c r="A107" s="42" t="n">
        <x:v>103</x:v>
      </x:c>
      <x:c r="B107" s="49" t="str">
        <x:v>tests/test_parallel_retrieval_online.py</x:v>
      </x:c>
      <x:c r="C107" s="49" t="str">
        <x:v>test_online_parallel_ab_blocks_equal_fallback_results_after_network_failure</x:v>
      </x:c>
      <x:c r="D107" s="49" t="str">
        <x:v>默认场景</x:v>
      </x:c>
      <x:c r="E107" s="49" t="str">
        <x:v>验证网络全失败时，即使兜底结果完全相同也不能形成假阳性。</x:v>
      </x:c>
      <x:c r="F107" s="49" t="str">
        <x:v>结果重合率可为 100%，但失败计数会阻止晋升。</x:v>
      </x:c>
      <x:c r="G107" s="49" t="str">
        <x:v>相同兜底结果可能被误认成真实检索结果等价。</x:v>
      </x:c>
      <x:c r="H107" s="52" t="str">
        <x:v>通过</x:v>
      </x:c>
      <x:c r="I107" s="55" t="n">
        <x:v>0.04</x:v>
      </x:c>
      <x:c r="J107" s="58" t="str">
        <x:v>已登记</x:v>
      </x:c>
    </x:row>
    <x:row r="108" ht="92.4000015258789" hidden="0" customHeight="1">
      <x:c r="A108" s="42" t="n">
        <x:v>104</x:v>
      </x:c>
      <x:c r="B108" s="49" t="str">
        <x:v>tests/test_parallel_retrieval_online.py</x:v>
      </x:c>
      <x:c r="C108" s="49" t="str">
        <x:v>test_online_parallel_ab_rejects_invalid_budget_and_writes_report</x:v>
      </x:c>
      <x:c r="D108" s="49" t="str">
        <x:v>默认场景</x:v>
      </x:c>
      <x:c r="E108" s="49" t="str">
        <x:v>验证在线评测拒绝空查询或非法预算，并能写出可审计 JSON。</x:v>
      </x:c>
      <x:c r="F108" s="49" t="str">
        <x:v>非法输入抛出异常，合法报告可读且查询数正确。</x:v>
      </x:c>
      <x:c r="G108" s="49" t="str">
        <x:v>评测可能无意产生零样本结论或无法留档。</x:v>
      </x:c>
      <x:c r="H108" s="52" t="str">
        <x:v>通过</x:v>
      </x:c>
      <x:c r="I108" s="55" t="n">
        <x:v>0.097</x:v>
      </x:c>
      <x:c r="J108" s="58" t="str">
        <x:v>已登记</x:v>
      </x:c>
    </x:row>
    <x:row r="109" ht="132" hidden="0" customHeight="1">
      <x:c r="A109" s="42" t="n">
        <x:v>105</x:v>
      </x:c>
      <x:c r="B109" s="49" t="str">
        <x:v>tests/test_quality_gate_eval.py</x:v>
      </x:c>
      <x:c r="C109" s="49" t="str">
        <x:v>test_quality_gate_blocks_low_quality_without_false_blocks_or_llm_cost</x:v>
      </x:c>
      <x:c r="D109" s="49" t="str">
        <x:v>默认场景</x:v>
      </x:c>
      <x:c r="E109" s="49" t="str">
        <x:v>验证质量闸门能阻断低质量生成，同时不误拦截正常任务并减少模拟 LLM 成本。</x:v>
      </x:c>
      <x:c r="F109" s="49" t="str">
        <x:v>阻断准确率和格式合规率 100%，误阻断率 0%，避免 4 次调用和 480 Token。</x:v>
      </x:c>
      <x:c r="G109" s="49" t="str">
        <x:v>闸门可能漏放低质量证据、误阻断正常回答，或没有产生实际成本收益。</x:v>
      </x:c>
      <x:c r="H109" s="52" t="str">
        <x:v>通过</x:v>
      </x:c>
      <x:c r="I109" s="55" t="n">
        <x:v>0.002</x:v>
      </x:c>
      <x:c r="J109" s="58" t="str">
        <x:v>已登记</x:v>
      </x:c>
    </x:row>
    <x:row r="110" ht="105.5999984741211" hidden="0" customHeight="1">
      <x:c r="A110" s="42" t="n">
        <x:v>106</x:v>
      </x:c>
      <x:c r="B110" s="49" t="str">
        <x:v>tests/test_query_plan.py</x:v>
      </x:c>
      <x:c r="C110" s="49" t="str">
        <x:v>test_deduplicate_queries_preserves_order_and_ignores_case</x:v>
      </x:c>
      <x:c r="D110" s="49" t="str">
        <x:v>默认场景</x:v>
      </x:c>
      <x:c r="E110" s="49" t="str">
        <x:v>验证查询去重忽略大小写和首尾空格，同时保留首次出现顺序。</x:v>
      </x:c>
      <x:c r="F110" s="49" t="str">
        <x:v>重复 Graph RAG/Methods 被合并，输出顺序保持稳定。</x:v>
      </x:c>
      <x:c r="G110" s="49" t="str">
        <x:v>可能产生重复检索、顺序变化或错误删除有效查询。</x:v>
      </x:c>
      <x:c r="H110" s="52" t="str">
        <x:v>通过</x:v>
      </x:c>
      <x:c r="I110" s="55" t="n">
        <x:v>0.001</x:v>
      </x:c>
      <x:c r="J110" s="58" t="str">
        <x:v>已登记</x:v>
      </x:c>
    </x:row>
    <x:row r="111" ht="118.80000305175781" hidden="0" customHeight="1">
      <x:c r="A111" s="42" t="n">
        <x:v>107</x:v>
      </x:c>
      <x:c r="B111" s="49" t="str">
        <x:v>tests/test_query_plan.py</x:v>
      </x:c>
      <x:c r="C111" s="49" t="str">
        <x:v>test_build_rule_based_sub_queries_for_each_task_type[qa-expected_suffixes0]</x:v>
      </x:c>
      <x:c r="D111" s="49" t="str">
        <x:v>qa-expected_suffixes0</x:v>
      </x:c>
      <x:c r="E111" s="49" t="str">
        <x:v>验证不同任务类型生成对应的规则子查询集合。</x:v>
      </x:c>
      <x:c r="F111" s="49" t="str">
        <x:v>当前任务场景保留原查询，并追加预期的比较、总结、推荐或引用检索后缀。</x:v>
      </x:c>
      <x:c r="G111" s="49" t="str">
        <x:v>任务类型与检索策略不匹配，可能漏找关键论文维度或增加无效查询。</x:v>
      </x:c>
      <x:c r="H111" s="52" t="str">
        <x:v>通过</x:v>
      </x:c>
      <x:c r="I111" s="55" t="n">
        <x:v>0.002</x:v>
      </x:c>
      <x:c r="J111" s="58" t="str">
        <x:v>已登记</x:v>
      </x:c>
    </x:row>
    <x:row r="112" ht="118.80000305175781" hidden="0" customHeight="1">
      <x:c r="A112" s="42" t="n">
        <x:v>108</x:v>
      </x:c>
      <x:c r="B112" s="49" t="str">
        <x:v>tests/test_query_plan.py</x:v>
      </x:c>
      <x:c r="C112" s="49" t="str">
        <x:v>test_build_rule_based_sub_queries_for_each_task_type[compare-expected_suffixes1]</x:v>
      </x:c>
      <x:c r="D112" s="49" t="str">
        <x:v>compare-expected_suffixes1</x:v>
      </x:c>
      <x:c r="E112" s="49" t="str">
        <x:v>验证不同任务类型生成对应的规则子查询集合。</x:v>
      </x:c>
      <x:c r="F112" s="49" t="str">
        <x:v>当前任务场景保留原查询，并追加预期的比较、总结、推荐或引用检索后缀。</x:v>
      </x:c>
      <x:c r="G112" s="49" t="str">
        <x:v>任务类型与检索策略不匹配，可能漏找关键论文维度或增加无效查询。</x:v>
      </x:c>
      <x:c r="H112" s="52" t="str">
        <x:v>通过</x:v>
      </x:c>
      <x:c r="I112" s="55" t="n">
        <x:v>0.003</x:v>
      </x:c>
      <x:c r="J112" s="58" t="str">
        <x:v>已登记</x:v>
      </x:c>
    </x:row>
    <x:row r="113" ht="118.80000305175781" hidden="0" customHeight="1">
      <x:c r="A113" s="42" t="n">
        <x:v>109</x:v>
      </x:c>
      <x:c r="B113" s="49" t="str">
        <x:v>tests/test_query_plan.py</x:v>
      </x:c>
      <x:c r="C113" s="49" t="str">
        <x:v>test_build_rule_based_sub_queries_for_each_task_type[summarize-expected_suffixes2]</x:v>
      </x:c>
      <x:c r="D113" s="49" t="str">
        <x:v>summarize-expected_suffixes2</x:v>
      </x:c>
      <x:c r="E113" s="49" t="str">
        <x:v>验证不同任务类型生成对应的规则子查询集合。</x:v>
      </x:c>
      <x:c r="F113" s="49" t="str">
        <x:v>当前任务场景保留原查询，并追加预期的比较、总结、推荐或引用检索后缀。</x:v>
      </x:c>
      <x:c r="G113" s="49" t="str">
        <x:v>任务类型与检索策略不匹配，可能漏找关键论文维度或增加无效查询。</x:v>
      </x:c>
      <x:c r="H113" s="52" t="str">
        <x:v>通过</x:v>
      </x:c>
      <x:c r="I113" s="55" t="n">
        <x:v>0.002</x:v>
      </x:c>
      <x:c r="J113" s="58" t="str">
        <x:v>已登记</x:v>
      </x:c>
    </x:row>
    <x:row r="114" ht="118.80000305175781" hidden="0" customHeight="1">
      <x:c r="A114" s="42" t="n">
        <x:v>110</x:v>
      </x:c>
      <x:c r="B114" s="49" t="str">
        <x:v>tests/test_query_plan.py</x:v>
      </x:c>
      <x:c r="C114" s="49" t="str">
        <x:v>test_build_rule_based_sub_queries_for_each_task_type[recommend-expected_suffixes3]</x:v>
      </x:c>
      <x:c r="D114" s="49" t="str">
        <x:v>recommend-expected_suffixes3</x:v>
      </x:c>
      <x:c r="E114" s="49" t="str">
        <x:v>验证不同任务类型生成对应的规则子查询集合。</x:v>
      </x:c>
      <x:c r="F114" s="49" t="str">
        <x:v>当前任务场景保留原查询，并追加预期的比较、总结、推荐或引用检索后缀。</x:v>
      </x:c>
      <x:c r="G114" s="49" t="str">
        <x:v>任务类型与检索策略不匹配，可能漏找关键论文维度或增加无效查询。</x:v>
      </x:c>
      <x:c r="H114" s="52" t="str">
        <x:v>通过</x:v>
      </x:c>
      <x:c r="I114" s="55" t="n">
        <x:v>0.003</x:v>
      </x:c>
      <x:c r="J114" s="58" t="str">
        <x:v>已登记</x:v>
      </x:c>
    </x:row>
    <x:row r="115" ht="118.80000305175781" hidden="0" customHeight="1">
      <x:c r="A115" s="42" t="n">
        <x:v>111</x:v>
      </x:c>
      <x:c r="B115" s="49" t="str">
        <x:v>tests/test_query_plan.py</x:v>
      </x:c>
      <x:c r="C115" s="49" t="str">
        <x:v>test_build_rule_based_sub_queries_for_each_task_type[citation-expected_suffixes4]</x:v>
      </x:c>
      <x:c r="D115" s="49" t="str">
        <x:v>citation-expected_suffixes4</x:v>
      </x:c>
      <x:c r="E115" s="49" t="str">
        <x:v>验证不同任务类型生成对应的规则子查询集合。</x:v>
      </x:c>
      <x:c r="F115" s="49" t="str">
        <x:v>当前任务场景保留原查询，并追加预期的比较、总结、推荐或引用检索后缀。</x:v>
      </x:c>
      <x:c r="G115" s="49" t="str">
        <x:v>任务类型与检索策略不匹配，可能漏找关键论文维度或增加无效查询。</x:v>
      </x:c>
      <x:c r="H115" s="52" t="str">
        <x:v>通过</x:v>
      </x:c>
      <x:c r="I115" s="55" t="n">
        <x:v>0.001</x:v>
      </x:c>
      <x:c r="J115" s="58" t="str">
        <x:v>已登记</x:v>
      </x:c>
    </x:row>
    <x:row r="116" ht="92.4000015258789" hidden="0" customHeight="1">
      <x:c r="A116" s="42" t="n">
        <x:v>112</x:v>
      </x:c>
      <x:c r="B116" s="49" t="str">
        <x:v>tests/test_query_plan.py</x:v>
      </x:c>
      <x:c r="C116" s="49" t="str">
        <x:v>test_build_rule_based_sub_queries_falls_back_to_original_query</x:v>
      </x:c>
      <x:c r="D116" s="49" t="str">
        <x:v>默认场景</x:v>
      </x:c>
      <x:c r="E116" s="49" t="str">
        <x:v>验证改写查询为空时使用原始用户问题兜底。</x:v>
      </x:c>
      <x:c r="F116" s="49" t="str">
        <x:v>仍能得到 agentic rag 单查询，不会返回空规划。</x:v>
      </x:c>
      <x:c r="G116" s="49" t="str">
        <x:v>查询改写异常可能导致完全不检索。</x:v>
      </x:c>
      <x:c r="H116" s="52" t="str">
        <x:v>通过</x:v>
      </x:c>
      <x:c r="I116" s="55" t="n">
        <x:v>0.001</x:v>
      </x:c>
      <x:c r="J116" s="58" t="str">
        <x:v>已登记</x:v>
      </x:c>
    </x:row>
    <x:row r="117" ht="118.80000305175781" hidden="0" customHeight="1">
      <x:c r="A117" s="42" t="n">
        <x:v>113</x:v>
      </x:c>
      <x:c r="B117" s="49" t="str">
        <x:v>tests/test_query_plan.py</x:v>
      </x:c>
      <x:c r="C117" s="49" t="str">
        <x:v>test_classify_query_complexity_without_an_llm[state0-simple]</x:v>
      </x:c>
      <x:c r="D117" s="49" t="str">
        <x:v>state0-simple</x:v>
      </x:c>
      <x:c r="E117" s="49" t="str">
        <x:v>验证本地复杂度规则可区分简单、复杂和不适用任务。</x:v>
      </x:c>
      <x:c r="F117" s="49" t="str">
        <x:v>当前参数场景得到预期复杂度，并提供非空判断原因。</x:v>
      </x:c>
      <x:c r="G117" s="49" t="str">
        <x:v>简单问题可能多检索浪费资源，复杂问题可能检索不足，或 PDF 被误规划。</x:v>
      </x:c>
      <x:c r="H117" s="52" t="str">
        <x:v>通过</x:v>
      </x:c>
      <x:c r="I117" s="55" t="n">
        <x:v>0.002</x:v>
      </x:c>
      <x:c r="J117" s="58" t="str">
        <x:v>已登记</x:v>
      </x:c>
    </x:row>
    <x:row r="118" ht="118.80000305175781" hidden="0" customHeight="1">
      <x:c r="A118" s="42" t="n">
        <x:v>114</x:v>
      </x:c>
      <x:c r="B118" s="49" t="str">
        <x:v>tests/test_query_plan.py</x:v>
      </x:c>
      <x:c r="C118" s="49" t="str">
        <x:v>test_classify_query_complexity_without_an_llm[state1-simple]</x:v>
      </x:c>
      <x:c r="D118" s="49" t="str">
        <x:v>state1-simple</x:v>
      </x:c>
      <x:c r="E118" s="49" t="str">
        <x:v>验证本地复杂度规则可区分简单、复杂和不适用任务。</x:v>
      </x:c>
      <x:c r="F118" s="49" t="str">
        <x:v>当前参数场景得到预期复杂度，并提供非空判断原因。</x:v>
      </x:c>
      <x:c r="G118" s="49" t="str">
        <x:v>简单问题可能多检索浪费资源，复杂问题可能检索不足，或 PDF 被误规划。</x:v>
      </x:c>
      <x:c r="H118" s="52" t="str">
        <x:v>通过</x:v>
      </x:c>
      <x:c r="I118" s="55" t="n">
        <x:v>0.001</x:v>
      </x:c>
      <x:c r="J118" s="58" t="str">
        <x:v>已登记</x:v>
      </x:c>
    </x:row>
    <x:row r="119" ht="118.80000305175781" hidden="0" customHeight="1">
      <x:c r="A119" s="42" t="n">
        <x:v>115</x:v>
      </x:c>
      <x:c r="B119" s="49" t="str">
        <x:v>tests/test_query_plan.py</x:v>
      </x:c>
      <x:c r="C119" s="49" t="str">
        <x:v>test_classify_query_complexity_without_an_llm[state2-complex]</x:v>
      </x:c>
      <x:c r="D119" s="49" t="str">
        <x:v>state2-complex</x:v>
      </x:c>
      <x:c r="E119" s="49" t="str">
        <x:v>验证本地复杂度规则可区分简单、复杂和不适用任务。</x:v>
      </x:c>
      <x:c r="F119" s="49" t="str">
        <x:v>当前参数场景得到预期复杂度，并提供非空判断原因。</x:v>
      </x:c>
      <x:c r="G119" s="49" t="str">
        <x:v>简单问题可能多检索浪费资源，复杂问题可能检索不足，或 PDF 被误规划。</x:v>
      </x:c>
      <x:c r="H119" s="52" t="str">
        <x:v>通过</x:v>
      </x:c>
      <x:c r="I119" s="55" t="n">
        <x:v>0.001</x:v>
      </x:c>
      <x:c r="J119" s="58" t="str">
        <x:v>已登记</x:v>
      </x:c>
    </x:row>
    <x:row r="120" ht="118.80000305175781" hidden="0" customHeight="1">
      <x:c r="A120" s="42" t="n">
        <x:v>116</x:v>
      </x:c>
      <x:c r="B120" s="49" t="str">
        <x:v>tests/test_query_plan.py</x:v>
      </x:c>
      <x:c r="C120" s="49" t="str">
        <x:v>test_classify_query_complexity_without_an_llm[state3-complex]</x:v>
      </x:c>
      <x:c r="D120" s="49" t="str">
        <x:v>state3-complex</x:v>
      </x:c>
      <x:c r="E120" s="49" t="str">
        <x:v>验证本地复杂度规则可区分简单、复杂和不适用任务。</x:v>
      </x:c>
      <x:c r="F120" s="49" t="str">
        <x:v>当前参数场景得到预期复杂度，并提供非空判断原因。</x:v>
      </x:c>
      <x:c r="G120" s="49" t="str">
        <x:v>简单问题可能多检索浪费资源，复杂问题可能检索不足，或 PDF 被误规划。</x:v>
      </x:c>
      <x:c r="H120" s="52" t="str">
        <x:v>通过</x:v>
      </x:c>
      <x:c r="I120" s="55" t="n">
        <x:v>0.003</x:v>
      </x:c>
      <x:c r="J120" s="58" t="str">
        <x:v>已登记</x:v>
      </x:c>
    </x:row>
    <x:row r="121" ht="118.80000305175781" hidden="0" customHeight="1">
      <x:c r="A121" s="42" t="n">
        <x:v>117</x:v>
      </x:c>
      <x:c r="B121" s="49" t="str">
        <x:v>tests/test_query_plan.py</x:v>
      </x:c>
      <x:c r="C121" s="49" t="str">
        <x:v>test_classify_query_complexity_without_an_llm[state4-complex]</x:v>
      </x:c>
      <x:c r="D121" s="49" t="str">
        <x:v>state4-complex</x:v>
      </x:c>
      <x:c r="E121" s="49" t="str">
        <x:v>验证本地复杂度规则可区分简单、复杂和不适用任务。</x:v>
      </x:c>
      <x:c r="F121" s="49" t="str">
        <x:v>当前参数场景得到预期复杂度，并提供非空判断原因。</x:v>
      </x:c>
      <x:c r="G121" s="49" t="str">
        <x:v>简单问题可能多检索浪费资源，复杂问题可能检索不足，或 PDF 被误规划。</x:v>
      </x:c>
      <x:c r="H121" s="52" t="str">
        <x:v>通过</x:v>
      </x:c>
      <x:c r="I121" s="55" t="n">
        <x:v>0.001</x:v>
      </x:c>
      <x:c r="J121" s="58" t="str">
        <x:v>已登记</x:v>
      </x:c>
    </x:row>
    <x:row r="122" ht="118.80000305175781" hidden="0" customHeight="1">
      <x:c r="A122" s="42" t="n">
        <x:v>118</x:v>
      </x:c>
      <x:c r="B122" s="49" t="str">
        <x:v>tests/test_query_plan.py</x:v>
      </x:c>
      <x:c r="C122" s="49" t="str">
        <x:v>test_classify_query_complexity_without_an_llm[state5-not_applicable]</x:v>
      </x:c>
      <x:c r="D122" s="49" t="str">
        <x:v>state5-not_applicable</x:v>
      </x:c>
      <x:c r="E122" s="49" t="str">
        <x:v>验证本地复杂度规则可区分简单、复杂和不适用任务。</x:v>
      </x:c>
      <x:c r="F122" s="49" t="str">
        <x:v>当前参数场景得到预期复杂度，并提供非空判断原因。</x:v>
      </x:c>
      <x:c r="G122" s="49" t="str">
        <x:v>简单问题可能多检索浪费资源，复杂问题可能检索不足，或 PDF 被误规划。</x:v>
      </x:c>
      <x:c r="H122" s="52" t="str">
        <x:v>通过</x:v>
      </x:c>
      <x:c r="I122" s="55" t="n">
        <x:v>0.002</x:v>
      </x:c>
      <x:c r="J122" s="58" t="str">
        <x:v>已登记</x:v>
      </x:c>
    </x:row>
    <x:row r="123" ht="92.4000015258789" hidden="0" customHeight="1">
      <x:c r="A123" s="42" t="n">
        <x:v>119</x:v>
      </x:c>
      <x:c r="B123" s="49" t="str">
        <x:v>tests/test_query_plan.py</x:v>
      </x:c>
      <x:c r="C123" s="49" t="str">
        <x:v>test_query_plan_node_skips_pdf_reading_tasks</x:v>
      </x:c>
      <x:c r="D123" s="49" t="str">
        <x:v>默认场景</x:v>
      </x:c>
      <x:c r="E123" s="49" t="str">
        <x:v>验证 PDF 阅读任务完全跳过外部检索规划。</x:v>
      </x:c>
      <x:c r="F123" s="49" t="str">
        <x:v>子查询为空、规划关闭，复杂度和原因字段明确标记不适用。</x:v>
      </x:c>
      <x:c r="G123" s="49" t="str">
        <x:v>PDF 分析可能错误触发搜索，增加延迟并混入外部内容。</x:v>
      </x:c>
      <x:c r="H123" s="52" t="str">
        <x:v>通过</x:v>
      </x:c>
      <x:c r="I123" s="55" t="n">
        <x:v>0.002</x:v>
      </x:c>
      <x:c r="J123" s="58" t="str">
        <x:v>已登记</x:v>
      </x:c>
    </x:row>
    <x:row r="124" ht="118.80000305175781" hidden="0" customHeight="1">
      <x:c r="A124" s="42" t="n">
        <x:v>120</x:v>
      </x:c>
      <x:c r="B124" s="49" t="str">
        <x:v>tests/test_query_plan.py</x:v>
      </x:c>
      <x:c r="C124" s="49" t="str">
        <x:v>test_query_plan_node_preserves_and_extends_paper_metadata</x:v>
      </x:c>
      <x:c r="D124" s="49" t="str">
        <x:v>默认场景</x:v>
      </x:c>
      <x:c r="E124" s="49" t="str">
        <x:v>验证查询规划在扩展论文元数据时保留已有请求信息。</x:v>
      </x:c>
      <x:c r="F124" s="49" t="str">
        <x:v>request_id 保留，并新增一致的子查询、数量、复杂度和启用原因。</x:v>
      </x:c>
      <x:c r="G124" s="49" t="str">
        <x:v>规划节点可能丢失追踪信息或写入相互矛盾的状态。</x:v>
      </x:c>
      <x:c r="H124" s="52" t="str">
        <x:v>通过</x:v>
      </x:c>
      <x:c r="I124" s="55" t="n">
        <x:v>0.001</x:v>
      </x:c>
      <x:c r="J124" s="58" t="str">
        <x:v>已登记</x:v>
      </x:c>
    </x:row>
    <x:row r="125" ht="118.80000305175781" hidden="0" customHeight="1">
      <x:c r="A125" s="42" t="n">
        <x:v>121</x:v>
      </x:c>
      <x:c r="B125" s="49" t="str">
        <x:v>tests/test_rag_eval_models.py</x:v>
      </x:c>
      <x:c r="C125" s="49" t="str">
        <x:v>test_rag_dataset_accepts_versioned_grounded_case</x:v>
      </x:c>
      <x:c r="D125" s="49" t="str">
        <x:v>默认场景</x:v>
      </x:c>
      <x:c r="E125" s="49" t="str">
        <x:v>验证本地 RAG 评测数据能记录版本化问题、答案、证据片段、页码和来源。</x:v>
      </x:c>
      <x:c r="F125" s="49" t="str">
        <x:v>合法数据通过校验，语料版本与证据页码可审计。</x:v>
      </x:c>
      <x:c r="G125" s="49" t="str">
        <x:v>RAG 实验可能缺少可复现语料版本或人工证据依据。</x:v>
      </x:c>
      <x:c r="H125" s="52" t="str">
        <x:v>通过</x:v>
      </x:c>
      <x:c r="I125" s="55" t="n">
        <x:v>0.001</x:v>
      </x:c>
      <x:c r="J125" s="58" t="str">
        <x:v>已登记</x:v>
      </x:c>
    </x:row>
    <x:row r="126" ht="118.80000305175781" hidden="0" customHeight="1">
      <x:c r="A126" s="42" t="n">
        <x:v>122</x:v>
      </x:c>
      <x:c r="B126" s="49" t="str">
        <x:v>tests/test_rag_eval_models.py</x:v>
      </x:c>
      <x:c r="C126" s="49" t="str">
        <x:v>test_rag_dataset_rejects_invalid_pages_and_duplicate_evidence</x:v>
      </x:c>
      <x:c r="D126" s="49" t="str">
        <x:v>默认场景</x:v>
      </x:c>
      <x:c r="E126" s="49" t="str">
        <x:v>验证错误页码和重复证据身份会被评测契约拒绝。</x:v>
      </x:c>
      <x:c r="F126" s="49" t="str">
        <x:v>页码倒置或跨案例重复 document/chunk 身份均触发 ValidationError。</x:v>
      </x:c>
      <x:c r="G126" s="49" t="str">
        <x:v>脏标注可能污染 Recall、引用定位和技术选型结论。</x:v>
      </x:c>
      <x:c r="H126" s="52" t="str">
        <x:v>通过</x:v>
      </x:c>
      <x:c r="I126" s="55" t="n">
        <x:v>0.002</x:v>
      </x:c>
      <x:c r="J126" s="58" t="str">
        <x:v>已登记</x:v>
      </x:c>
    </x:row>
    <x:row r="127" ht="132" hidden="0" customHeight="1">
      <x:c r="A127" s="42" t="n">
        <x:v>123</x:v>
      </x:c>
      <x:c r="B127" s="49" t="str">
        <x:v>tests/test_rag_eval_models.py</x:v>
      </x:c>
      <x:c r="C127" s="49" t="str">
        <x:v>test_rag_dataset_allows_different_questions_to_share_evidence_chunk</x:v>
      </x:c>
      <x:c r="D127" s="49" t="str">
        <x:v>默认场景</x:v>
      </x:c>
      <x:c r="E127" s="49" t="str">
        <x:v>验证不同问题可以引用同一个真实证据块，同时仍禁止单个问题内部重复登记证据。</x:v>
      </x:c>
      <x:c r="F127" s="49" t="str">
        <x:v>两个独立问题共享同一 document_id/chunk_id 时数据集通过校验。</x:v>
      </x:c>
      <x:c r="G127" s="49" t="str">
        <x:v>契约会迫使标注者制造虚假 chunk ID，或无法表达一段原文支持多个问题的真实情况。</x:v>
      </x:c>
      <x:c r="H127" s="52" t="str">
        <x:v>通过</x:v>
      </x:c>
      <x:c r="I127" s="55" t="n">
        <x:v>0.001</x:v>
      </x:c>
      <x:c r="J127" s="58" t="str">
        <x:v>已登记</x:v>
      </x:c>
    </x:row>
    <x:row r="128" ht="145.1999969482422" hidden="0" customHeight="1">
      <x:c r="A128" s="42" t="n">
        <x:v>124</x:v>
      </x:c>
      <x:c r="B128" s="49" t="str">
        <x:v>tests/test_rag_eval_models.py</x:v>
      </x:c>
      <x:c r="C128" s="49" t="str">
        <x:v>test_rag_experiment_config_keeps_technology_choices_replaceable</x:v>
      </x:c>
      <x:c r="D128" s="49" t="str">
        <x:v>默认场景</x:v>
      </x:c>
      <x:c r="E128" s="49" t="str">
        <x:v>验证 Dense 与 Graph 等 RAG 技术通过统一配置字段替换，而非写死实现。</x:v>
      </x:c>
      <x:c r="F128" s="49" t="str">
        <x:v>不同 retriever family、Embedding、Store 和 Graph Retriever 可使用独立 config_id。</x:v>
      </x:c>
      <x:c r="G128" s="49" t="str">
        <x:v>项目可能在评测前绑定单一产品，无法进行公平单变量对照。</x:v>
      </x:c>
      <x:c r="H128" s="52" t="str">
        <x:v>通过</x:v>
      </x:c>
      <x:c r="I128" s="55" t="n">
        <x:v>0.001</x:v>
      </x:c>
      <x:c r="J128" s="58" t="str">
        <x:v>已登记</x:v>
      </x:c>
    </x:row>
    <x:row r="129" ht="132" hidden="0" customHeight="1">
      <x:c r="A129" s="42" t="n">
        <x:v>125</x:v>
      </x:c>
      <x:c r="B129" s="49" t="str">
        <x:v>tests/test_rag_gold_dataset.py</x:v>
      </x:c>
      <x:c r="C129" s="49" t="str">
        <x:v>test_rag_gold_v1_has_balanced_corpus_and_question_coverage</x:v>
      </x:c>
      <x:c r="D129" s="49" t="str">
        <x:v>默认场景</x:v>
      </x:c>
      <x:c r="E129" s="49" t="str">
        <x:v>验证首版人工金标准包含 16 题、覆盖全部 8 篇论文，并具有多种题型和两档难度。</x:v>
      </x:c>
      <x:c r="F129" s="49" t="str">
        <x:v>语料、题型与难度覆盖满足首版设计矩阵，避免评测只偏向单篇或单类问题。</x:v>
      </x:c>
      <x:c r="G129" s="49" t="str">
        <x:v>金标准可能遗漏论文或题型过于单一，使后续 BM25、Dense 与图检索对比失真。</x:v>
      </x:c>
      <x:c r="H129" s="52" t="str">
        <x:v>通过</x:v>
      </x:c>
      <x:c r="I129" s="55" t="n">
        <x:v>0.003</x:v>
      </x:c>
      <x:c r="J129" s="58" t="str">
        <x:v>已登记</x:v>
      </x:c>
    </x:row>
    <x:row r="130" ht="118.80000305175781" hidden="0" customHeight="1">
      <x:c r="A130" s="42" t="n">
        <x:v>126</x:v>
      </x:c>
      <x:c r="B130" s="49" t="str">
        <x:v>tests/test_rag_gold_dataset.py</x:v>
      </x:c>
      <x:c r="C130" s="49" t="str">
        <x:v>test_rag_gold_v1_evidence_is_present_on_declared_pdf_page</x:v>
      </x:c>
      <x:c r="D130" s="49" t="str">
        <x:v>默认场景</x:v>
      </x:c>
      <x:c r="E130" s="49" t="str">
        <x:v>逐题重新解析真实 PDF，验证人工证据原文确实存在于声明的 PDF 页序号。</x:v>
      </x:c>
      <x:c r="F130" s="49" t="str">
        <x:v>16 题的证据片段与页码全部可回溯到本地原始论文。</x:v>
      </x:c>
      <x:c r="G130" s="49" t="str">
        <x:v>参考答案可能引用错误页、错误论文或经过改写而无法核验的伪证据。</x:v>
      </x:c>
      <x:c r="H130" s="52" t="str">
        <x:v>通过</x:v>
      </x:c>
      <x:c r="I130" s="55" t="n">
        <x:v>14.665</x:v>
      </x:c>
      <x:c r="J130" s="58" t="str">
        <x:v>已登记</x:v>
      </x:c>
    </x:row>
    <x:row r="131" ht="118.80000305175781" hidden="0" customHeight="1">
      <x:c r="A131" s="42" t="n">
        <x:v>127</x:v>
      </x:c>
      <x:c r="B131" s="49" t="str">
        <x:v>tests/test_rag_gold_dataset.py</x:v>
      </x:c>
      <x:c r="C131" s="49" t="str">
        <x:v>test_rag_gold_builder_reproduces_committed_dataset</x:v>
      </x:c>
      <x:c r="D131" s="49" t="str">
        <x:v>默认场景</x:v>
      </x:c>
      <x:c r="E131" s="49" t="str">
        <x:v>验证人工规格、PDF、Parser 与 Chunker 可确定性重建已提交的金标准 JSON。</x:v>
      </x:c>
      <x:c r="F131" s="49" t="str">
        <x:v>重建结果逐字段等于版本控制中的数据集，包括真实 chunk ID 与证据片段。</x:v>
      </x:c>
      <x:c r="G131" s="49" t="str">
        <x:v>标注产物可能不可复现，或处理组件变化后证据坐标已悄悄失效。</x:v>
      </x:c>
      <x:c r="H131" s="52" t="str">
        <x:v>通过</x:v>
      </x:c>
      <x:c r="I131" s="55" t="n">
        <x:v>15.135</x:v>
      </x:c>
      <x:c r="J131" s="58" t="str">
        <x:v>已登记</x:v>
      </x:c>
    </x:row>
    <x:row r="132" ht="132" hidden="0" customHeight="1">
      <x:c r="A132" s="42" t="n">
        <x:v>128</x:v>
      </x:c>
      <x:c r="B132" s="49" t="str">
        <x:v>tests/test_rag_holdout_dataset.py</x:v>
      </x:c>
      <x:c r="C132" s="49" t="str">
        <x:v>test_holdout_has_ten_cases_and_no_development_evidence_pages</x:v>
      </x:c>
      <x:c r="D132" s="49" t="str">
        <x:v>默认场景</x:v>
      </x:c>
      <x:c r="E132" s="49" t="str">
        <x:v>验证独立保留集包含 10 题、覆盖全部 8 篇论文，并且证据页不与开发集重叠。</x:v>
      </x:c>
      <x:c r="F132" s="49" t="str">
        <x:v>保留集与开发集页面集合完全不相交，可用于检查冻结术语表的初步泛化。</x:v>
      </x:c>
      <x:c r="G132" s="49" t="str">
        <x:v>保留题可能复用术语表设计时已见证据，导致把开发集拟合误判为泛化收益。</x:v>
      </x:c>
      <x:c r="H132" s="52" t="str">
        <x:v>通过</x:v>
      </x:c>
      <x:c r="I132" s="55" t="n">
        <x:v>0.005</x:v>
      </x:c>
      <x:c r="J132" s="58" t="str">
        <x:v>已登记</x:v>
      </x:c>
    </x:row>
    <x:row r="133" ht="105.5999984741211" hidden="0" customHeight="1">
      <x:c r="A133" s="42" t="n">
        <x:v>129</x:v>
      </x:c>
      <x:c r="B133" s="49" t="str">
        <x:v>tests/test_rag_holdout_dataset.py</x:v>
      </x:c>
      <x:c r="C133" s="49" t="str">
        <x:v>test_holdout_evidence_is_present_on_declared_pdf_page</x:v>
      </x:c>
      <x:c r="D133" s="49" t="str">
        <x:v>默认场景</x:v>
      </x:c>
      <x:c r="E133" s="49" t="str">
        <x:v>逐题重新解析真实 PDF，验证保留集证据原文存在于声明页面。</x:v>
      </x:c>
      <x:c r="F133" s="49" t="str">
        <x:v>10 个保留问题的原文片段和页码均可回溯到本地论文。</x:v>
      </x:c>
      <x:c r="G133" s="49" t="str">
        <x:v>保留集可能含错误页码或不可核验的证据，使泛化评测失去可信基础。</x:v>
      </x:c>
      <x:c r="H133" s="52" t="str">
        <x:v>通过</x:v>
      </x:c>
      <x:c r="I133" s="55" t="n">
        <x:v>18.548</x:v>
      </x:c>
      <x:c r="J133" s="58" t="str">
        <x:v>已登记</x:v>
      </x:c>
    </x:row>
    <x:row r="134" ht="105.5999984741211" hidden="0" customHeight="1">
      <x:c r="A134" s="42" t="n">
        <x:v>130</x:v>
      </x:c>
      <x:c r="B134" s="49" t="str">
        <x:v>tests/test_rag_holdout_dataset.py</x:v>
      </x:c>
      <x:c r="C134" s="49" t="str">
        <x:v>test_holdout_builder_reproduces_frozen_json</x:v>
      </x:c>
      <x:c r="D134" s="49" t="str">
        <x:v>默认场景</x:v>
      </x:c>
      <x:c r="E134" s="49" t="str">
        <x:v>验证保留集可由冻结人工规格、PDF 和固定 Chunker 确定性重建。</x:v>
      </x:c>
      <x:c r="F134" s="49" t="str">
        <x:v>重建 JSON 与已提交保留集逐字段一致。</x:v>
      </x:c>
      <x:c r="G134" s="49" t="str">
        <x:v>评测输入可能漂移，无法确认不同检索方案是否使用同一保留集。</x:v>
      </x:c>
      <x:c r="H134" s="52" t="str">
        <x:v>通过</x:v>
      </x:c>
      <x:c r="I134" s="55" t="n">
        <x:v>15.261</x:v>
      </x:c>
      <x:c r="J134" s="58" t="str">
        <x:v>已登记</x:v>
      </x:c>
    </x:row>
    <x:row r="135" ht="92.4000015258789" hidden="0" customHeight="1">
      <x:c r="A135" s="42" t="n">
        <x:v>131</x:v>
      </x:c>
      <x:c r="B135" s="49" t="str">
        <x:v>tests/test_reranker.py</x:v>
      </x:c>
      <x:c r="C135" s="49" t="str">
        <x:v>test_tokenize_handles_english_stopwords_and_chinese_characters</x:v>
      </x:c>
      <x:c r="D135" s="49" t="str">
        <x:v>默认场景</x:v>
      </x:c>
      <x:c r="E135" s="49" t="str">
        <x:v>验证零 Token 重排器能稳定处理英文停用词和中文字符。</x:v>
      </x:c>
      <x:c r="F135" s="49" t="str">
        <x:v>英文实词与中文字符被保留，常见英文停用词被删除。</x:v>
      </x:c>
      <x:c r="G135" s="49" t="str">
        <x:v>中英文查询可能无法形成稳定特征，导致相关性评分失真。</x:v>
      </x:c>
      <x:c r="H135" s="52" t="str">
        <x:v>通过</x:v>
      </x:c>
      <x:c r="I135" s="55" t="n">
        <x:v>0.002</x:v>
      </x:c>
      <x:c r="J135" s="58" t="str">
        <x:v>已登记</x:v>
      </x:c>
    </x:row>
    <x:row r="136" ht="105.5999984741211" hidden="0" customHeight="1">
      <x:c r="A136" s="42" t="n">
        <x:v>132</x:v>
      </x:c>
      <x:c r="B136" s="49" t="str">
        <x:v>tests/test_reranker.py</x:v>
      </x:c>
      <x:c r="C136" s="49" t="str">
        <x:v>test_metadata_verifier_detects_conflicting_arxiv_ids_and_missing_abstract</x:v>
      </x:c>
      <x:c r="D136" s="49" t="str">
        <x:v>默认场景</x:v>
      </x:c>
      <x:c r="E136" s="49" t="str">
        <x:v>验证元数据校验器识别同一记录中的 arXiv ID 冲突和摘要缺失。</x:v>
      </x:c>
      <x:c r="F136" s="49" t="str">
        <x:v>两个风险产生明确错误码并降低元数据质量分。</x:v>
      </x:c>
      <x:c r="G136" s="49" t="str">
        <x:v>身份冲突或不完整论文可能以高可信度进入最终候选。</x:v>
      </x:c>
      <x:c r="H136" s="52" t="str">
        <x:v>通过</x:v>
      </x:c>
      <x:c r="I136" s="55" t="n">
        <x:v>0.003</x:v>
      </x:c>
      <x:c r="J136" s="58" t="str">
        <x:v>已登记</x:v>
      </x:c>
    </x:row>
    <x:row r="137" ht="118.80000305175781" hidden="0" customHeight="1">
      <x:c r="A137" s="42" t="n">
        <x:v>133</x:v>
      </x:c>
      <x:c r="B137" s="49" t="str">
        <x:v>tests/test_reranker.py</x:v>
      </x:c>
      <x:c r="C137" s="49" t="str">
        <x:v>test_reranker_promotes_query_relevant_openalex_candidate_into_top_k</x:v>
      </x:c>
      <x:c r="D137" s="49" t="str">
        <x:v>默认场景</x:v>
      </x:c>
      <x:c r="E137" s="49" t="str">
        <x:v>验证统一重排能让被 arXiv 前五条遮挡的 OpenAlex 高相关论文进入 Top K。</x:v>
      </x:c>
      <x:c r="F137" s="49" t="str">
        <x:v>Reflexion 论文从第二来源候选升至第一，并保留截断前候选数量。</x:v>
      </x:c>
      <x:c r="G137" s="49" t="str">
        <x:v>multi 仍可能只保留第一来源结果，无法获得多来源互补收益。</x:v>
      </x:c>
      <x:c r="H137" s="52" t="str">
        <x:v>通过</x:v>
      </x:c>
      <x:c r="I137" s="55" t="n">
        <x:v>0.001</x:v>
      </x:c>
      <x:c r="J137" s="58" t="str">
        <x:v>已登记</x:v>
      </x:c>
    </x:row>
    <x:row r="138" ht="118.80000305175781" hidden="0" customHeight="1">
      <x:c r="A138" s="42" t="n">
        <x:v>134</x:v>
      </x:c>
      <x:c r="B138" s="49" t="str">
        <x:v>tests/test_reranker.py</x:v>
      </x:c>
      <x:c r="C138" s="49" t="str">
        <x:v>test_reranker_interleaves_equal_relevance_candidates_by_source_rank</x:v>
      </x:c>
      <x:c r="D138" s="49" t="str">
        <x:v>默认场景</x:v>
      </x:c>
      <x:c r="E138" s="49" t="str">
        <x:v>验证文本相关性相同时按各来源原始排名公平交错候选。</x:v>
      </x:c>
      <x:c r="F138" s="49" t="str">
        <x:v>两个来源按照 A1/O1/A2/O2 排列，不再由来源列表顺序垄断 Top K。</x:v>
      </x:c>
      <x:c r="G138" s="49" t="str">
        <x:v>弱文本信号场景仍可能被首个来源完全占据。</x:v>
      </x:c>
      <x:c r="H138" s="52" t="str">
        <x:v>通过</x:v>
      </x:c>
      <x:c r="I138" s="55" t="n">
        <x:v>0.002</x:v>
      </x:c>
      <x:c r="J138" s="58" t="str">
        <x:v>已登记</x:v>
      </x:c>
    </x:row>
    <x:row r="139" ht="118.80000305175781" hidden="0" customHeight="1">
      <x:c r="A139" s="42" t="n">
        <x:v>135</x:v>
      </x:c>
      <x:c r="B139" s="49" t="str">
        <x:v>tests/test_reranker.py</x:v>
      </x:c>
      <x:c r="C139" s="49" t="str">
        <x:v>test_cross_source_title_conflict_is_visible_and_penalized</x:v>
      </x:c>
      <x:c r="D139" s="49" t="str">
        <x:v>默认场景</x:v>
      </x:c>
      <x:c r="E139" s="49" t="str">
        <x:v>验证相同 DOI 的跨来源标题严重冲突会被合并、标记并降权。</x:v>
      </x:c>
      <x:c r="F139" s="49" t="str">
        <x:v>重复论文只保留一条，记录两个来源及 CROSS_SOURCE_TITLE_CONFLICT。</x:v>
      </x:c>
      <x:c r="G139" s="49" t="str">
        <x:v>OpenAlex 等来源的异常标题可能被当成可靠元数据进入高排名。</x:v>
      </x:c>
      <x:c r="H139" s="52" t="str">
        <x:v>通过</x:v>
      </x:c>
      <x:c r="I139" s="55" t="n">
        <x:v>0.002</x:v>
      </x:c>
      <x:c r="J139" s="58" t="str">
        <x:v>已登记</x:v>
      </x:c>
    </x:row>
    <x:row r="140" ht="145.1999969482422" hidden="0" customHeight="1">
      <x:c r="A140" s="42" t="n">
        <x:v>136</x:v>
      </x:c>
      <x:c r="B140" s="49" t="str">
        <x:v>tests/test_reranker.py</x:v>
      </x:c>
      <x:c r="C140" s="49" t="str">
        <x:v>test_authoritative_arxiv_record_repairs_conflicting_secondary_title</x:v>
      </x:c>
      <x:c r="D140" s="49" t="str">
        <x:v>默认场景</x:v>
      </x:c>
      <x:c r="E140" s="49" t="str">
        <x:v>验证相同 arXiv 身份存在原生 arXiv 证据时使用权威字段修复二级来源冲突。</x:v>
      </x:c>
      <x:c r="F140" s="49" t="str">
        <x:v>即使 OpenAlex 记录先出现，最终标题也恢复为 arXiv 标题，并记录修复状态、动作和计数。</x:v>
      </x:c>
      <x:c r="G140" s="49" t="str">
        <x:v>合并顺序可能错误决定规范标题，让污染或过期的二级来源覆盖原生元数据。</x:v>
      </x:c>
      <x:c r="H140" s="52" t="str">
        <x:v>通过</x:v>
      </x:c>
      <x:c r="I140" s="55" t="n">
        <x:v>0.001</x:v>
      </x:c>
      <x:c r="J140" s="58" t="str">
        <x:v>已登记</x:v>
      </x:c>
    </x:row>
    <x:row r="141" ht="105.5999984741211" hidden="0" customHeight="1">
      <x:c r="A141" s="42" t="n">
        <x:v>137</x:v>
      </x:c>
      <x:c r="B141" s="49" t="str">
        <x:v>tests/test_reranker.py</x:v>
      </x:c>
      <x:c r="C141" s="49" t="str">
        <x:v>test_unverified_arxiv_identity_with_unrelated_title_is_quarantined</x:v>
      </x:c>
      <x:c r="D141" s="49" t="str">
        <x:v>默认场景</x:v>
      </x:c>
      <x:c r="E141" s="49" t="str">
        <x:v>验证只有二级来源声称 arXiv DOI 且标题与查询无关时执行隔离。</x:v>
      </x:c>
      <x:c r="F141" s="49" t="str">
        <x:v>可疑记录不会进入排序结果，隔离明细保留身份、警告和动作以供审计。</x:v>
      </x:c>
      <x:c r="G141" s="49" t="str">
        <x:v>伪造或错误关联的稳定 ID 可能借助身份信号进入高排名并污染答案。</x:v>
      </x:c>
      <x:c r="H141" s="52" t="str">
        <x:v>通过</x:v>
      </x:c>
      <x:c r="I141" s="55" t="n">
        <x:v>0.002</x:v>
      </x:c>
      <x:c r="J141" s="58" t="str">
        <x:v>已登记</x:v>
      </x:c>
    </x:row>
    <x:row r="142" ht="118.80000305175781" hidden="0" customHeight="1">
      <x:c r="A142" s="42" t="n">
        <x:v>138</x:v>
      </x:c>
      <x:c r="B142" s="49" t="str">
        <x:v>tests/test_reranker.py</x:v>
      </x:c>
      <x:c r="C142" s="49" t="str">
        <x:v>test_unverified_but_query_supported_arxiv_identity_remains_available</x:v>
      </x:c>
      <x:c r="D142" s="49" t="str">
        <x:v>默认场景</x:v>
      </x:c>
      <x:c r="E142" s="49" t="str">
        <x:v>验证尚无原生来源确认但标题与查询高度一致的二级来源记录不会被过度隔离。</x:v>
      </x:c>
      <x:c r="F142" s="49" t="str">
        <x:v>记录保留在候选中并标为 SECONDARY_ACCEPTED，同时提示身份仍待确认。</x:v>
      </x:c>
      <x:c r="G142" s="49" t="str">
        <x:v>元数据门槛可能过严而误删有价值论文，造成 Recall 回归。</x:v>
      </x:c>
      <x:c r="H142" s="52" t="str">
        <x:v>通过</x:v>
      </x:c>
      <x:c r="I142" s="55" t="n">
        <x:v>0.001</x:v>
      </x:c>
      <x:c r="J142" s="58" t="str">
        <x:v>已登记</x:v>
      </x:c>
    </x:row>
    <x:row r="143" ht="118.80000305175781" hidden="0" customHeight="1">
      <x:c r="A143" s="42" t="n">
        <x:v>139</x:v>
      </x:c>
      <x:c r="B143" s="49" t="str">
        <x:v>tests/test_reranker.py</x:v>
      </x:c>
      <x:c r="C143" s="49" t="str">
        <x:v>test_canonical_arxiv_evidence_repairs_secondary_claim_without_query_gate</x:v>
      </x:c>
      <x:c r="D143" s="49" t="str">
        <x:v>默认场景</x:v>
      </x:c>
      <x:c r="E143" s="49" t="str">
        <x:v>验证取得原生 arXiv 证据后，身份判断不再依赖标题与用户查询的词法重合度。</x:v>
      </x:c>
      <x:c r="F143" s="49" t="str">
        <x:v>即使查询故意无关，身份真实的二级记录仍被规范证据确认并保留。</x:v>
      </x:c>
      <x:c r="G143" s="49" t="str">
        <x:v>相关性低可能继续被误判为身份造假，造成有价值论文被隔离。</x:v>
      </x:c>
      <x:c r="H143" s="52" t="str">
        <x:v>通过</x:v>
      </x:c>
      <x:c r="I143" s="55" t="n">
        <x:v>0.001</x:v>
      </x:c>
      <x:c r="J143" s="58" t="str">
        <x:v>已登记</x:v>
      </x:c>
    </x:row>
    <x:row r="144" ht="132" hidden="0" customHeight="1">
      <x:c r="A144" s="42" t="n">
        <x:v>140</x:v>
      </x:c>
      <x:c r="B144" s="49" t="str">
        <x:v>tests/test_reranker.py</x:v>
      </x:c>
      <x:c r="C144" s="49" t="str">
        <x:v>test_canonical_arxiv_evidence_repairs_wrong_secondary_title</x:v>
      </x:c>
      <x:c r="D144" s="49" t="str">
        <x:v>默认场景</x:v>
      </x:c>
      <x:c r="E144" s="49" t="str">
        <x:v>验证二级来源标题错误时使用同一 ID 的原生 arXiv 标题修复，而不是直接丢弃论文。</x:v>
      </x:c>
      <x:c r="F144" s="49" t="str">
        <x:v>标题和摘要恢复为规范字段，记录修复动作且论文继续参与排序。</x:v>
      </x:c>
      <x:c r="G144" s="49" t="str">
        <x:v>可修复的来源污染可能被保留为错误标题，或被过度隔离造成召回下降。</x:v>
      </x:c>
      <x:c r="H144" s="52" t="str">
        <x:v>通过</x:v>
      </x:c>
      <x:c r="I144" s="55" t="n">
        <x:v>0.002</x:v>
      </x:c>
      <x:c r="J144" s="58" t="str">
        <x:v>已登记</x:v>
      </x:c>
    </x:row>
    <x:row r="145" ht="118.80000305175781" hidden="0" customHeight="1">
      <x:c r="A145" s="42" t="n">
        <x:v>141</x:v>
      </x:c>
      <x:c r="B145" s="49" t="str">
        <x:v>tests/test_reranker.py</x:v>
      </x:c>
      <x:c r="C145" s="49" t="str">
        <x:v>test_canonical_arxiv_not_found_is_explicit_negative_evidence</x:v>
      </x:c>
      <x:c r="D145" s="49" t="str">
        <x:v>默认场景</x:v>
      </x:c>
      <x:c r="E145" s="49" t="str">
        <x:v>验证原生 arXiv 按 ID 明确查无记录时，将其作为身份声明无效的负证据。</x:v>
      </x:c>
      <x:c r="F145" s="49" t="str">
        <x:v>记录以 AUTHORITATIVE_NOT_FOUND 状态隔离，并保留专用警告供审计。</x:v>
      </x:c>
      <x:c r="G145" s="49" t="str">
        <x:v>不存在的 arXiv 身份可能因标题碰巧相关而绕过校验进入答案。</x:v>
      </x:c>
      <x:c r="H145" s="52" t="str">
        <x:v>通过</x:v>
      </x:c>
      <x:c r="I145" s="55" t="n">
        <x:v>0.001</x:v>
      </x:c>
      <x:c r="J145" s="58" t="str">
        <x:v>已登记</x:v>
      </x:c>
    </x:row>
    <x:row r="146" ht="118.80000305175781" hidden="0" customHeight="1">
      <x:c r="A146" s="42" t="n">
        <x:v>142</x:v>
      </x:c>
      <x:c r="B146" s="49" t="str">
        <x:v>tests/test_reranker.py</x:v>
      </x:c>
      <x:c r="C146" s="49" t="str">
        <x:v>test_crossref_doi_evidence_repairs_conflicting_secondary_title</x:v>
      </x:c>
      <x:c r="D146" s="49" t="str">
        <x:v>默认场景</x:v>
      </x:c>
      <x:c r="E146" s="49" t="str">
        <x:v>验证同一普通 DOI 的 Crossref 规范标题可修复明显冲突的二级来源标题。</x:v>
      </x:c>
      <x:c r="F146" s="49" t="str">
        <x:v>低相似度污染标题被替换，并记录 REPAIRED_TITLE_FROM_CROSSREF。</x:v>
      </x:c>
      <x:c r="G146" s="49" t="str">
        <x:v>普通 DOI 证据可能只被记录却无法修复实际元数据污染。</x:v>
      </x:c>
      <x:c r="H146" s="52" t="str">
        <x:v>通过</x:v>
      </x:c>
      <x:c r="I146" s="55" t="n">
        <x:v>0.001</x:v>
      </x:c>
      <x:c r="J146" s="58" t="str">
        <x:v>已登记</x:v>
      </x:c>
    </x:row>
    <x:row r="147" ht="105.5999984741211" hidden="0" customHeight="1">
      <x:c r="A147" s="42" t="n">
        <x:v>143</x:v>
      </x:c>
      <x:c r="B147" s="49" t="str">
        <x:v>tests/test_reranker.py</x:v>
      </x:c>
      <x:c r="C147" s="49" t="str">
        <x:v>test_crossref_doi_not_found_is_visible_but_does_not_quarantine</x:v>
      </x:c>
      <x:c r="D147" s="49" t="str">
        <x:v>默认场景</x:v>
      </x:c>
      <x:c r="E147" s="49" t="str">
        <x:v>验证 Crossref 明确查无只形成可审计警告，不自动隔离普通 DOI。</x:v>
      </x:c>
      <x:c r="F147" s="49" t="str">
        <x:v>记录 DOI_AUTHORITY_NOT_FOUND，论文仍保留在候选排序中。</x:v>
      </x:c>
      <x:c r="G147" s="49" t="str">
        <x:v>单一规范源覆盖缺口可能被误当成虚假论文证据，造成召回损失。</x:v>
      </x:c>
      <x:c r="H147" s="52" t="str">
        <x:v>通过</x:v>
      </x:c>
      <x:c r="I147" s="55" t="n">
        <x:v>0.003</x:v>
      </x:c>
      <x:c r="J147" s="58" t="str">
        <x:v>已登记</x:v>
      </x:c>
    </x:row>
    <x:row r="148" ht="105.5999984741211" hidden="0" customHeight="1">
      <x:c r="A148" s="42" t="n">
        <x:v>144</x:v>
      </x:c>
      <x:c r="B148" s="49" t="str">
        <x:v>tests/test_result_merger.py</x:v>
      </x:c>
      <x:c r="C148" s="49" t="str">
        <x:v>test_normalize_text_handles_none_whitespace_and_case</x:v>
      </x:c>
      <x:c r="D148" s="49" t="str">
        <x:v>默认场景</x:v>
      </x:c>
      <x:c r="E148" s="49" t="str">
        <x:v>验证文档去重使用的文本归一化能处理空值、空格和大小写。</x:v>
      </x:c>
      <x:c r="F148" s="49" t="str">
        <x:v>None 变为空串，Graph RAG 被稳定归一化为 graph rag。</x:v>
      </x:c>
      <x:c r="G148" s="49" t="str">
        <x:v>同一文档可能因格式差异无法去重，或空值引发异常。</x:v>
      </x:c>
      <x:c r="H148" s="52" t="str">
        <x:v>通过</x:v>
      </x:c>
      <x:c r="I148" s="55" t="n">
        <x:v>0.001</x:v>
      </x:c>
      <x:c r="J148" s="58" t="str">
        <x:v>已登记</x:v>
      </x:c>
    </x:row>
    <x:row r="149" ht="105.5999984741211" hidden="0" customHeight="1">
      <x:c r="A149" s="42" t="n">
        <x:v>145</x:v>
      </x:c>
      <x:c r="B149" s="49" t="str">
        <x:v>tests/test_result_merger.py</x:v>
      </x:c>
      <x:c r="C149" s="49" t="str">
        <x:v>test_build_document_key_uses_stable_priority</x:v>
      </x:c>
      <x:c r="D149" s="49" t="str">
        <x:v>默认场景</x:v>
      </x:c>
      <x:c r="E149" s="49" t="str">
        <x:v>验证文档唯一键按 DOI、entry_id、PDF URL、标题的稳定优先级选择。</x:v>
      </x:c>
      <x:c r="F149" s="49" t="str">
        <x:v>跨源 DOI 优先，每种后备标识生成预期键，无标识文档返回空键。</x:v>
      </x:c>
      <x:c r="G149" s="49" t="str">
        <x:v>同一论文可能生成不稳定键，导致重复或误合并。</x:v>
      </x:c>
      <x:c r="H149" s="52" t="str">
        <x:v>通过</x:v>
      </x:c>
      <x:c r="I149" s="55" t="n">
        <x:v>0.001</x:v>
      </x:c>
      <x:c r="J149" s="58" t="str">
        <x:v>已登记</x:v>
      </x:c>
    </x:row>
    <x:row r="150" ht="105.5999984741211" hidden="0" customHeight="1">
      <x:c r="A150" s="42" t="n">
        <x:v>146</x:v>
      </x:c>
      <x:c r="B150" s="49" t="str">
        <x:v>tests/test_result_merger.py</x:v>
      </x:c>
      <x:c r="C150" s="49" t="str">
        <x:v>test_merge_documents_deduplicates_across_groups_and_preserves_priority</x:v>
      </x:c>
      <x:c r="D150" s="49" t="str">
        <x:v>默认场景</x:v>
      </x:c>
      <x:c r="E150" s="49" t="str">
        <x:v>验证多查询结果跨组去重，并保留首次出现的高优先级版本。</x:v>
      </x:c>
      <x:c r="F150" s="49" t="str">
        <x:v>重复 entry_id 只保留 first，第二篇独立论文仍保留。</x:v>
      </x:c>
      <x:c r="G150" s="49" t="str">
        <x:v>合并结果可能含重复论文或被后到的低优先级数据覆盖。</x:v>
      </x:c>
      <x:c r="H150" s="52" t="str">
        <x:v>通过</x:v>
      </x:c>
      <x:c r="I150" s="55" t="n">
        <x:v>0.002</x:v>
      </x:c>
      <x:c r="J150" s="58" t="str">
        <x:v>已登记</x:v>
      </x:c>
    </x:row>
    <x:row r="151" ht="118.80000305175781" hidden="0" customHeight="1">
      <x:c r="A151" s="42" t="n">
        <x:v>147</x:v>
      </x:c>
      <x:c r="B151" s="49" t="str">
        <x:v>tests/test_result_merger.py</x:v>
      </x:c>
      <x:c r="C151" s="49" t="str">
        <x:v>test_merge_documents_deduplicates_cross_source_records_by_doi</x:v>
      </x:c>
      <x:c r="D151" s="49" t="str">
        <x:v>默认场景</x:v>
      </x:c>
      <x:c r="E151" s="49" t="str">
        <x:v>验证 arXiv 与 OpenAlex 使用不同平台 ID 时仍能通过 DOI 识别同一论文。</x:v>
      </x:c>
      <x:c r="F151" s="49" t="str">
        <x:v>大小写和 DOI URL 表示不同的两条记录只保留优先来源版本。</x:v>
      </x:c>
      <x:c r="G151" s="49" t="str">
        <x:v>多源检索可能重复展示同一论文并浪费上下文 Token。</x:v>
      </x:c>
      <x:c r="H151" s="52" t="str">
        <x:v>通过</x:v>
      </x:c>
      <x:c r="I151" s="55" t="n">
        <x:v>0.001</x:v>
      </x:c>
      <x:c r="J151" s="58" t="str">
        <x:v>已登记</x:v>
      </x:c>
    </x:row>
    <x:row r="152" ht="105.5999984741211" hidden="0" customHeight="1">
      <x:c r="A152" s="42" t="n">
        <x:v>148</x:v>
      </x:c>
      <x:c r="B152" s="49" t="str">
        <x:v>tests/test_result_merger.py</x:v>
      </x:c>
      <x:c r="C152" s="49" t="str">
        <x:v>test_merge_documents_deduplicates_cross_source_title_when_doi_is_missing</x:v>
      </x:c>
      <x:c r="D152" s="49" t="str">
        <x:v>默认场景</x:v>
      </x:c>
      <x:c r="E152" s="49" t="str">
        <x:v>验证没有 DOI 的同一预印本可通过归一化标题跨来源去重。</x:v>
      </x:c>
      <x:c r="F152" s="49" t="str">
        <x:v>不同平台 ID、标题大小写和空格不同的记录只保留 arXiv 优先版本。</x:v>
      </x:c>
      <x:c r="G152" s="49" t="str">
        <x:v>无 DOI 预印本可能因平台 ID 不同而在多源结果中重复出现。</x:v>
      </x:c>
      <x:c r="H152" s="52" t="str">
        <x:v>通过</x:v>
      </x:c>
      <x:c r="I152" s="55" t="n">
        <x:v>0.001</x:v>
      </x:c>
      <x:c r="J152" s="58" t="str">
        <x:v>已登记</x:v>
      </x:c>
    </x:row>
    <x:row r="153" ht="105.5999984741211" hidden="0" customHeight="1">
      <x:c r="A153" s="42" t="n">
        <x:v>149</x:v>
      </x:c>
      <x:c r="B153" s="49" t="str">
        <x:v>tests/test_result_merger.py</x:v>
      </x:c>
      <x:c r="C153" s="49" t="str">
        <x:v>test_merge_documents_keeps_documents_without_a_deduplication_key</x:v>
      </x:c>
      <x:c r="D153" s="49" t="str">
        <x:v>默认场景</x:v>
      </x:c>
      <x:c r="E153" s="49" t="str">
        <x:v>验证缺少稳定标识的匿名结果不会被错误互相合并。</x:v>
      </x:c>
      <x:c r="F153" s="49" t="str">
        <x:v>两条无去重键文档均被保留。</x:v>
      </x:c>
      <x:c r="G153" s="49" t="str">
        <x:v>不同匿名内容可能被误删，造成检索信息丢失。</x:v>
      </x:c>
      <x:c r="H153" s="52" t="str">
        <x:v>通过</x:v>
      </x:c>
      <x:c r="I153" s="55" t="n">
        <x:v>0.002</x:v>
      </x:c>
      <x:c r="J153" s="58" t="str">
        <x:v>已登记</x:v>
      </x:c>
    </x:row>
    <x:row r="154" ht="92.4000015258789" hidden="0" customHeight="1">
      <x:c r="A154" s="42" t="n">
        <x:v>150</x:v>
      </x:c>
      <x:c r="B154" s="49" t="str">
        <x:v>tests/test_result_merger.py</x:v>
      </x:c>
      <x:c r="C154" s="49" t="str">
        <x:v>test_merge_documents_honors_max_documents</x:v>
      </x:c>
      <x:c r="D154" s="49" t="str">
        <x:v>默认场景</x:v>
      </x:c>
      <x:c r="E154" s="49" t="str">
        <x:v>验证合并结果遵守最大文档数量限制。</x:v>
      </x:c>
      <x:c r="F154" s="49" t="str">
        <x:v>五篇输入在上限为三时只返回前三篇。</x:v>
      </x:c>
      <x:c r="G154" s="49" t="str">
        <x:v>上下文可能超过设定限制，增加 Token、延迟或截断风险。</x:v>
      </x:c>
      <x:c r="H154" s="52" t="str">
        <x:v>通过</x:v>
      </x:c>
      <x:c r="I154" s="55" t="n">
        <x:v>0.001</x:v>
      </x:c>
      <x:c r="J154" s="58" t="str">
        <x:v>已登记</x:v>
      </x:c>
    </x:row>
    <x:row r="155" ht="92.4000015258789" hidden="0" customHeight="1">
      <x:c r="A155" s="42" t="n">
        <x:v>151</x:v>
      </x:c>
      <x:c r="B155" s="49" t="str">
        <x:v>tests/test_result_merger.py</x:v>
      </x:c>
      <x:c r="C155" s="49" t="str">
        <x:v>test_merge_documents_with_stats_reports_counts</x:v>
      </x:c>
      <x:c r="D155" s="49" t="str">
        <x:v>默认场景</x:v>
      </x:c>
      <x:c r="E155" s="49" t="str">
        <x:v>验证带统计的合并能准确报告原始数、合并数和去重数。</x:v>
      </x:c>
      <x:c r="F155" s="49" t="str">
        <x:v>四条原始结果合并为三篇，准确报告去除一条重复。</x:v>
      </x:c>
      <x:c r="G155" s="49" t="str">
        <x:v>去重效果指标可能与实际文档列表不一致。</x:v>
      </x:c>
      <x:c r="H155" s="52" t="str">
        <x:v>通过</x:v>
      </x:c>
      <x:c r="I155" s="55" t="n">
        <x:v>0.001</x:v>
      </x:c>
      <x:c r="J155" s="58" t="str">
        <x:v>已登记</x:v>
      </x:c>
    </x:row>
    <x:row r="156" ht="145.1999969482422" hidden="0" customHeight="1">
      <x:c r="A156" s="42" t="n">
        <x:v>152</x:v>
      </x:c>
      <x:c r="B156" s="49" t="str">
        <x:v>tests/test_retrieval_online_eval.py</x:v>
      </x:c>
      <x:c r="C156" s="49" t="str">
        <x:v>test_retrieval_dataset_loads_versioned_twenty_case_gold_standard</x:v>
      </x:c>
      <x:c r="D156" s="49" t="str">
        <x:v>默认场景</x:v>
      </x:c>
      <x:c r="E156" s="49" t="str">
        <x:v>验证在线检索评测集具有固定版本、20 个唯一问题、统一 K 值和非空金标准论文。</x:v>
      </x:c>
      <x:c r="F156" s="49" t="str">
        <x:v>评测输入可追溯且结构完整，不会因重复问题或缺少相关论文而污染指标。</x:v>
      </x:c>
      <x:c r="G156" s="49" t="str">
        <x:v>评测集版本、规模或标注结构发生意外变化，历史结果将失去可比性。</x:v>
      </x:c>
      <x:c r="H156" s="52" t="str">
        <x:v>通过</x:v>
      </x:c>
      <x:c r="I156" s="55" t="n">
        <x:v>0.003</x:v>
      </x:c>
      <x:c r="J156" s="58" t="str">
        <x:v>已登记</x:v>
      </x:c>
    </x:row>
    <x:row r="157" ht="92.4000015258789" hidden="0" customHeight="1">
      <x:c r="A157" s="42" t="n">
        <x:v>153</x:v>
      </x:c>
      <x:c r="B157" s="49" t="str">
        <x:v>tests/test_retrieval_online_eval.py</x:v>
      </x:c>
      <x:c r="C157" s="49" t="str">
        <x:v>test_retrieval_dataset_rejects_duplicate_case_ids</x:v>
      </x:c>
      <x:c r="D157" s="49" t="str">
        <x:v>默认场景</x:v>
      </x:c>
      <x:c r="E157" s="49" t="str">
        <x:v>验证评测集拒绝重复 case id，避免同一问题被重复计分。</x:v>
      </x:c>
      <x:c r="F157" s="49" t="str">
        <x:v>重复标识会在加载阶段被明确拒绝。</x:v>
      </x:c>
      <x:c r="G157" s="49" t="str">
        <x:v>重复问题可能被静默纳入平均值，造成检索质量指标偏差。</x:v>
      </x:c>
      <x:c r="H157" s="52" t="str">
        <x:v>通过</x:v>
      </x:c>
      <x:c r="I157" s="55" t="n">
        <x:v>0.004</x:v>
      </x:c>
      <x:c r="J157" s="58" t="str">
        <x:v>已登记</x:v>
      </x:c>
    </x:row>
    <x:row r="158" ht="105.5999984741211" hidden="0" customHeight="1">
      <x:c r="A158" s="42" t="n">
        <x:v>154</x:v>
      </x:c>
      <x:c r="B158" s="49" t="str">
        <x:v>tests/test_retrieval_online_eval.py</x:v>
      </x:c>
      <x:c r="C158" s="49" t="str">
        <x:v>test_paper_identity_normalizes_doi_arxiv_id_and_title</x:v>
      </x:c>
      <x:c r="D158" s="49" t="str">
        <x:v>默认场景</x:v>
      </x:c>
      <x:c r="E158" s="49" t="str">
        <x:v>验证 DOI、arXiv ID 和标题能被归一化为稳定的论文身份键。</x:v>
      </x:c>
      <x:c r="F158" s="49" t="str">
        <x:v>不同 URL、大小写和标点形式仍能识别为同一论文。</x:v>
      </x:c>
      <x:c r="G158" s="49" t="str">
        <x:v>同一论文可能无法匹配金标准或无法跨来源去重。</x:v>
      </x:c>
      <x:c r="H158" s="52" t="str">
        <x:v>通过</x:v>
      </x:c>
      <x:c r="I158" s="55" t="n">
        <x:v>0.001</x:v>
      </x:c>
      <x:c r="J158" s="58" t="str">
        <x:v>已登记</x:v>
      </x:c>
    </x:row>
    <x:row r="159" ht="132" hidden="0" customHeight="1">
      <x:c r="A159" s="42" t="n">
        <x:v>155</x:v>
      </x:c>
      <x:c r="B159" s="49" t="str">
        <x:v>tests/test_retrieval_online_eval.py</x:v>
      </x:c>
      <x:c r="C159" s="49" t="str">
        <x:v>test_gold_match_rejects_stable_identity_with_contradictory_title</x:v>
      </x:c>
      <x:c r="D159" s="49" t="str">
        <x:v>默认场景</x:v>
      </x:c>
      <x:c r="E159" s="49" t="str">
        <x:v>验证 DOI/arXiv ID 相同但标题严重冲突的来源记录不会被金标准误判为相关论文。</x:v>
      </x:c>
      <x:c r="F159" s="49" t="str">
        <x:v>异常 OpenAlex 标题即使复用了金标准 DOI，也不会虚增 Recall、MRR 或 nDCG。</x:v>
      </x:c>
      <x:c r="G159" s="49" t="str">
        <x:v>来源元数据污染可能制造虚假能力提升，使重排技术选型结论失真。</x:v>
      </x:c>
      <x:c r="H159" s="52" t="str">
        <x:v>通过</x:v>
      </x:c>
      <x:c r="I159" s="55" t="n">
        <x:v>0.003</x:v>
      </x:c>
      <x:c r="J159" s="58" t="str">
        <x:v>已登记</x:v>
      </x:c>
    </x:row>
    <x:row r="160" ht="132" hidden="0" customHeight="1">
      <x:c r="A160" s="42" t="n">
        <x:v>156</x:v>
      </x:c>
      <x:c r="B160" s="49" t="str">
        <x:v>tests/test_retrieval_online_eval.py</x:v>
      </x:c>
      <x:c r="C160" s="49" t="str">
        <x:v>test_ranking_metrics_calculate_recall_precision_mrr_ndcg_and_dimensions</x:v>
      </x:c>
      <x:c r="D160" s="49" t="str">
        <x:v>默认场景</x:v>
      </x:c>
      <x:c r="E160" s="49" t="str">
        <x:v>用手工可验证的排名检查 Recall、Precision、MRR、nDCG 和维度覆盖率公式。</x:v>
      </x:c>
      <x:c r="F160" s="49" t="str">
        <x:v>相关论文位于第 2 名时，各项指标与预先计算值完全一致。</x:v>
      </x:c>
      <x:c r="G160" s="49" t="str">
        <x:v>至少一个核心检索指标计算错误，在线来源对比结论不可信。</x:v>
      </x:c>
      <x:c r="H160" s="52" t="str">
        <x:v>通过</x:v>
      </x:c>
      <x:c r="I160" s="55" t="n">
        <x:v>0.004</x:v>
      </x:c>
      <x:c r="J160" s="58" t="str">
        <x:v>已登记</x:v>
      </x:c>
    </x:row>
    <x:row r="161" ht="79.19999694824219" hidden="0" customHeight="1">
      <x:c r="A161" s="42" t="n">
        <x:v>157</x:v>
      </x:c>
      <x:c r="B161" s="49" t="str">
        <x:v>tests/test_retrieval_online_eval.py</x:v>
      </x:c>
      <x:c r="C161" s="49" t="str">
        <x:v>test_duplicate_rate_handles_zero_and_merged_counts</x:v>
      </x:c>
      <x:c r="D161" s="49" t="str">
        <x:v>默认场景</x:v>
      </x:c>
      <x:c r="E161" s="49" t="str">
        <x:v>验证空结果和存在重复结果时的重复率计算边界。</x:v>
      </x:c>
      <x:c r="F161" s="49" t="str">
        <x:v>空结果返回 0%，4 条合并为 3 条时返回 25%。</x:v>
      </x:c>
      <x:c r="G161" s="49" t="str">
        <x:v>重复率可能除零或错误反映多来源结果冗余。</x:v>
      </x:c>
      <x:c r="H161" s="52" t="str">
        <x:v>通过</x:v>
      </x:c>
      <x:c r="I161" s="55" t="n">
        <x:v>0.002</x:v>
      </x:c>
      <x:c r="J161" s="58" t="str">
        <x:v>已登记</x:v>
      </x:c>
    </x:row>
    <x:row r="162" ht="105.5999984741211" hidden="0" customHeight="1">
      <x:c r="A162" s="42" t="n">
        <x:v>158</x:v>
      </x:c>
      <x:c r="B162" s="49" t="str">
        <x:v>tests/test_retrieval_online_eval.py</x:v>
      </x:c>
      <x:c r="C162" s="49" t="str">
        <x:v>test_multi_profile_deduplicates_and_records_partial_provider_failure</x:v>
      </x:c>
      <x:c r="D162" s="49" t="str">
        <x:v>默认场景</x:v>
      </x:c>
      <x:c r="E162" s="49" t="str">
        <x:v>验证多来源评测在一个来源失败时仍合并成功来源，并保留失败原因。</x:v>
      </x:c>
      <x:c r="F162" s="49" t="str">
        <x:v>结果标记为部分成功，相关论文仍被命中，TIMEOUT 明细可追踪。</x:v>
      </x:c>
      <x:c r="G162" s="49" t="str">
        <x:v>单来源故障可能拖垮整个评测，或错误被隐藏为正常空结果。</x:v>
      </x:c>
      <x:c r="H162" s="52" t="str">
        <x:v>通过</x:v>
      </x:c>
      <x:c r="I162" s="55" t="n">
        <x:v>0.002</x:v>
      </x:c>
      <x:c r="J162" s="58" t="str">
        <x:v>已登记</x:v>
      </x:c>
    </x:row>
    <x:row r="163" ht="118.80000305175781" hidden="0" customHeight="1">
      <x:c r="A163" s="42" t="n">
        <x:v>159</x:v>
      </x:c>
      <x:c r="B163" s="49" t="str">
        <x:v>tests/test_retrieval_online_eval.py</x:v>
      </x:c>
      <x:c r="C163" s="49" t="str">
        <x:v>test_successful_zero_result_is_empty_instead_of_failed</x:v>
      </x:c>
      <x:c r="D163" s="49" t="str">
        <x:v>默认场景</x:v>
      </x:c>
      <x:c r="E163" s="49" t="str">
        <x:v>验证来源正常响应但没有论文时标记为 empty，而不是网络或执行失败。</x:v>
      </x:c>
      <x:c r="F163" s="49" t="str">
        <x:v>空结果与工具故障采用不同状态，且不会产生虚假的来源错误。</x:v>
      </x:c>
      <x:c r="G163" s="49" t="str">
        <x:v>失败率会混入正常零结果，导致可靠性与检索覆盖问题无法区分。</x:v>
      </x:c>
      <x:c r="H163" s="52" t="str">
        <x:v>通过</x:v>
      </x:c>
      <x:c r="I163" s="55" t="n">
        <x:v>0.003</x:v>
      </x:c>
      <x:c r="J163" s="58" t="str">
        <x:v>已登记</x:v>
      </x:c>
    </x:row>
    <x:row r="164" ht="118.80000305175781" hidden="0" customHeight="1">
      <x:c r="A164" s="42" t="n">
        <x:v>160</x:v>
      </x:c>
      <x:c r="B164" s="49" t="str">
        <x:v>tests/test_retrieval_online_eval.py</x:v>
      </x:c>
      <x:c r="C164" s="49" t="str">
        <x:v>test_online_benchmark_reuses_provider_results_across_profiles</x:v>
      </x:c>
      <x:c r="D164" s="49" t="str">
        <x:v>默认场景</x:v>
      </x:c>
      <x:c r="E164" s="49" t="str">
        <x:v>验证同一问题的原始来源响应会在 arXiv、OpenAlex 和 multi 配置间复用。</x:v>
      </x:c>
      <x:c r="F164" s="49" t="str">
        <x:v>每个来源只调用一次，三种配置基于相同快照比较，避免浪费 API 配额。</x:v>
      </x:c>
      <x:c r="G164" s="49" t="str">
        <x:v>同一轮对比可能重复联网，增加耗时、限流风险并破坏公平性。</x:v>
      </x:c>
      <x:c r="H164" s="52" t="str">
        <x:v>通过</x:v>
      </x:c>
      <x:c r="I164" s="55" t="n">
        <x:v>0.085</x:v>
      </x:c>
      <x:c r="J164" s="58" t="str">
        <x:v>已登记</x:v>
      </x:c>
    </x:row>
    <x:row r="165" ht="118.80000305175781" hidden="0" customHeight="1">
      <x:c r="A165" s="42" t="n">
        <x:v>161</x:v>
      </x:c>
      <x:c r="B165" s="49" t="str">
        <x:v>tests/test_retrieval_online_eval.py</x:v>
      </x:c>
      <x:c r="C165" s="49" t="str">
        <x:v>test_verified_rerank_reports_quarantined_secondary_identity</x:v>
      </x:c>
      <x:c r="D165" s="49" t="str">
        <x:v>默认场景</x:v>
      </x:c>
      <x:c r="E165" s="49" t="str">
        <x:v>验证在线评测为元数据校验策略单独记录隔离数量和规范身份。</x:v>
      </x:c>
      <x:c r="F165" s="49" t="str">
        <x:v>被隔离论文不计入返回结果，报告仍保存 arXiv 规范身份供异常追踪。</x:v>
      </x:c>
      <x:c r="G165" s="49" t="str">
        <x:v>评测可能遗漏校验器的实际动作，导致质量不变时无法证明异常记录已被清除。</x:v>
      </x:c>
      <x:c r="H165" s="52" t="str">
        <x:v>通过</x:v>
      </x:c>
      <x:c r="I165" s="55" t="n">
        <x:v>0.002</x:v>
      </x:c>
      <x:c r="J165" s="58" t="str">
        <x:v>已登记</x:v>
      </x:c>
    </x:row>
    <x:row r="166" ht="105.5999984741211" hidden="0" customHeight="1">
      <x:c r="A166" s="42" t="n">
        <x:v>162</x:v>
      </x:c>
      <x:c r="B166" s="49" t="str">
        <x:v>tests/test_retrieval_online_eval.py</x:v>
      </x:c>
      <x:c r="C166" s="49" t="str">
        <x:v>test_missing_openalex_key_is_explicitly_skipped_without_network</x:v>
      </x:c>
      <x:c r="D166" s="49" t="str">
        <x:v>默认场景</x:v>
      </x:c>
      <x:c r="E166" s="49" t="str">
        <x:v>验证缺少 OpenAlex API Key 时明确跳过该来源且不发起网络请求。</x:v>
      </x:c>
      <x:c r="F166" s="49" t="str">
        <x:v>报告记录 MISSING_API_KEY，实际 API 调用数保持为零。</x:v>
      </x:c>
      <x:c r="G166" s="49" t="str">
        <x:v>无凭据运行可能消耗匿名额度，或把配置缺失误报为检索质量差。</x:v>
      </x:c>
      <x:c r="H166" s="52" t="str">
        <x:v>通过</x:v>
      </x:c>
      <x:c r="I166" s="55" t="n">
        <x:v>0.007</x:v>
      </x:c>
      <x:c r="J166" s="58" t="str">
        <x:v>已登记</x:v>
      </x:c>
    </x:row>
    <x:row r="167" ht="158.39999389648438" hidden="0" customHeight="1">
      <x:c r="A167" s="42" t="n">
        <x:v>163</x:v>
      </x:c>
      <x:c r="B167" s="49" t="str">
        <x:v>tests/test_retrieval_online_eval.py</x:v>
      </x:c>
      <x:c r="C167" s="49" t="str">
        <x:v>test_arxiv_pacing_waits_only_for_remaining_interval</x:v>
      </x:c>
      <x:c r="D167" s="49" t="str">
        <x:v>默认场景</x:v>
      </x:c>
      <x:c r="E167" s="49" t="str">
        <x:v>验证在线评测在连续 arXiv 请求之间只等待尚未满足的全局间隔，并能识别 HTTP 429。</x:v>
      </x:c>
      <x:c r="F167" s="49" t="str">
        <x:v>已过去 2.5 秒时只等待剩余 3.5 秒，OpenAlex 不受该节流影响，429 可触发恢复。</x:v>
      </x:c>
      <x:c r="G167" s="49" t="str">
        <x:v>评测可能请求过快触发限流，或不必要地拖慢其他论文来源。</x:v>
      </x:c>
      <x:c r="H167" s="52" t="str">
        <x:v>通过</x:v>
      </x:c>
      <x:c r="I167" s="55" t="n">
        <x:v>0.002</x:v>
      </x:c>
      <x:c r="J167" s="58" t="str">
        <x:v>已登记</x:v>
      </x:c>
    </x:row>
    <x:row r="168" ht="132" hidden="0" customHeight="1">
      <x:c r="A168" s="42" t="n">
        <x:v>164</x:v>
      </x:c>
      <x:c r="B168" s="49" t="str">
        <x:v>tests/test_retrieval_online_eval.py</x:v>
      </x:c>
      <x:c r="C168" s="49" t="str">
        <x:v>test_online_report_writes_json_summary_case_and_paper_tables</x:v>
      </x:c>
      <x:c r="D168" s="49" t="str">
        <x:v>默认场景</x:v>
      </x:c>
      <x:c r="E168" s="49" t="str">
        <x:v>验证在线评测可同时输出机器可读 JSON、快照清单及总览、逐题、论文明细 CSV。</x:v>
      </x:c>
      <x:c r="F168" s="49" t="str">
        <x:v>报告文件和快照清单均成功生成，且清单保存稳定的快照身份。</x:v>
      </x:c>
      <x:c r="G168" s="49" t="str">
        <x:v>评测结果无法沉淀为可审计数据，Excel 和历史对比也无法稳定生成。</x:v>
      </x:c>
      <x:c r="H168" s="52" t="str">
        <x:v>通过</x:v>
      </x:c>
      <x:c r="I168" s="55" t="n">
        <x:v>0.15</x:v>
      </x:c>
      <x:c r="J168" s="58" t="str">
        <x:v>已登记</x:v>
      </x:c>
    </x:row>
    <x:row r="169" ht="118.80000305175781" hidden="0" customHeight="1">
      <x:c r="A169" s="42" t="n">
        <x:v>165</x:v>
      </x:c>
      <x:c r="B169" s="49" t="str">
        <x:v>tests/test_retrieval_online_eval.py</x:v>
      </x:c>
      <x:c r="C169" s="49" t="str">
        <x:v>test_snapshot_id_is_path_safe_and_uses_isolated_directory</x:v>
      </x:c>
      <x:c r="D169" s="49" t="str">
        <x:v>默认场景</x:v>
      </x:c>
      <x:c r="E169" s="49" t="str">
        <x:v>验证在线评测快照 ID 只能使用安全字符，并映射到独立快照目录。</x:v>
      </x:c>
      <x:c r="F169" s="49" t="str">
        <x:v>合法 ID 获得独立目录，路径穿越、嵌套路径、空值和非约定字符均被拒绝。</x:v>
      </x:c>
      <x:c r="G169" s="49" t="str">
        <x:v>快照名称可能逃逸评测目录、覆盖其他文件，或让两次来源响应混入同一实验。</x:v>
      </x:c>
      <x:c r="H169" s="52" t="str">
        <x:v>通过</x:v>
      </x:c>
      <x:c r="I169" s="55" t="n">
        <x:v>0.006</x:v>
      </x:c>
      <x:c r="J169" s="58" t="str">
        <x:v>已登记</x:v>
      </x:c>
    </x:row>
    <x:row r="170" ht="118.80000305175781" hidden="0" customHeight="1">
      <x:c r="A170" s="42" t="n">
        <x:v>166</x:v>
      </x:c>
      <x:c r="B170" s="49" t="str">
        <x:v>tests/test_retrieval_online_eval.py</x:v>
      </x:c>
      <x:c r="C170" s="49" t="str">
        <x:v>test_existing_snapshot_requires_explicit_resume</x:v>
      </x:c>
      <x:c r="D170" s="49" t="str">
        <x:v>默认场景</x:v>
      </x:c>
      <x:c r="E170" s="49" t="str">
        <x:v>验证已有在线评测快照默认不可覆盖，只有显式续跑才能复用其成功响应。</x:v>
      </x:c>
      <x:c r="F170" s="49" t="str">
        <x:v>普通运行遇到已有快照立即失败，resume 模式准确返回原快照目录。</x:v>
      </x:c>
      <x:c r="G170" s="49" t="str">
        <x:v>第二次实验可能静默覆盖第一份证据，导致跨快照结论无法审计和复现。</x:v>
      </x:c>
      <x:c r="H170" s="52" t="str">
        <x:v>通过</x:v>
      </x:c>
      <x:c r="I170" s="55" t="n">
        <x:v>0.009</x:v>
      </x:c>
      <x:c r="J170" s="58" t="str">
        <x:v>已登记</x:v>
      </x:c>
    </x:row>
    <x:row r="171" ht="118.80000305175781" hidden="0" customHeight="1">
      <x:c r="A171" s="42" t="n">
        <x:v>167</x:v>
      </x:c>
      <x:c r="B171" s="49" t="str">
        <x:v>tests/test_retrieval_online_eval.py</x:v>
      </x:c>
      <x:c r="C171" s="49" t="str">
        <x:v>test_arxiv_network_failure_propagates_to_tool_executor</x:v>
      </x:c>
      <x:c r="D171" s="49" t="str">
        <x:v>默认场景</x:v>
      </x:c>
      <x:c r="E171" s="49" t="str">
        <x:v>验证 arXiv 网络异常会传递给 Tool Executor，而不是被伪装成零篇论文。</x:v>
      </x:c>
      <x:c r="F171" s="49" t="str">
        <x:v>连接失败保留异常语义，可由统一执行层记录、重试或降级。</x:v>
      </x:c>
      <x:c r="G171" s="49" t="str">
        <x:v>真实故障可能被误判为正常无结果，导致失败率和恢复指标失真。</x:v>
      </x:c>
      <x:c r="H171" s="52" t="str">
        <x:v>通过</x:v>
      </x:c>
      <x:c r="I171" s="55" t="n">
        <x:v>0.003</x:v>
      </x:c>
      <x:c r="J171" s="58" t="str">
        <x:v>已登记</x:v>
      </x:c>
    </x:row>
    <x:row r="172" ht="92.4000015258789" hidden="0" customHeight="1">
      <x:c r="A172" s="42" t="n">
        <x:v>168</x:v>
      </x:c>
      <x:c r="B172" s="49" t="str">
        <x:v>tests/test_retrieval_replan.py</x:v>
      </x:c>
      <x:c r="C172" s="49" t="str">
        <x:v>test_replan_retries_same_query_for_transient_tool_failure</x:v>
      </x:c>
      <x:c r="D172" s="49" t="str">
        <x:v>默认场景</x:v>
      </x:c>
      <x:c r="E172" s="49" t="str">
        <x:v>验证超时等暂时工具错误不会被误判为查询质量问题。</x:v>
      </x:c>
      <x:c r="F172" s="49" t="str">
        <x:v>保持原查询重试一次，并记录失败类型、错误码和重试次数。</x:v>
      </x:c>
      <x:c r="G172" s="49" t="str">
        <x:v>网络故障可能触发无意义查询改写，降低恢复概率。</x:v>
      </x:c>
      <x:c r="H172" s="52" t="str">
        <x:v>通过</x:v>
      </x:c>
      <x:c r="I172" s="55" t="n">
        <x:v>0.001</x:v>
      </x:c>
      <x:c r="J172" s="58" t="str">
        <x:v>已登记</x:v>
      </x:c>
    </x:row>
    <x:row r="173" ht="105.5999984741211" hidden="0" customHeight="1">
      <x:c r="A173" s="42" t="n">
        <x:v>169</x:v>
      </x:c>
      <x:c r="B173" s="49" t="str">
        <x:v>tests/test_retrieval_replan.py</x:v>
      </x:c>
      <x:c r="C173" s="49" t="str">
        <x:v>test_replan_broadens_empty_query_without_llm</x:v>
      </x:c>
      <x:c r="D173" s="49" t="str">
        <x:v>默认场景</x:v>
      </x:c>
      <x:c r="E173" s="49" t="str">
        <x:v>验证零结果场景使用确定性规则放宽过窄查询。</x:v>
      </x:c>
      <x:c r="F173" s="49" t="str">
        <x:v>去除引号和括号并追加 research survey，不产生 LLM 调用。</x:v>
      </x:c>
      <x:c r="G173" s="49" t="str">
        <x:v>空结果可能原样重试，重复消耗工具预算。</x:v>
      </x:c>
      <x:c r="H173" s="52" t="str">
        <x:v>通过</x:v>
      </x:c>
      <x:c r="I173" s="55" t="n">
        <x:v>0.002</x:v>
      </x:c>
      <x:c r="J173" s="58" t="str">
        <x:v>已登记</x:v>
      </x:c>
    </x:row>
    <x:row r="174" ht="118.80000305175781" hidden="0" customHeight="1">
      <x:c r="A174" s="42" t="n">
        <x:v>170</x:v>
      </x:c>
      <x:c r="B174" s="49" t="str">
        <x:v>tests/test_retrieval_replan.py</x:v>
      </x:c>
      <x:c r="C174" s="49" t="str">
        <x:v>test_replan_expands_low_relevance_query_and_records_reason</x:v>
      </x:c>
      <x:c r="D174" s="49" t="str">
        <x:v>默认场景</x:v>
      </x:c>
      <x:c r="E174" s="49" t="str">
        <x:v>验证有结果但相关性低时扩展综述上下文并记录评分原因。</x:v>
      </x:c>
      <x:c r="F174" s="49" t="str">
        <x:v>追加 survey review，审计记录包含 low_relevance 与原评分。</x:v>
      </x:c>
      <x:c r="G174" s="49" t="str">
        <x:v>低相关结果可能只通过扩大数量重试而不改变检索意图。</x:v>
      </x:c>
      <x:c r="H174" s="52" t="str">
        <x:v>通过</x:v>
      </x:c>
      <x:c r="I174" s="55" t="n">
        <x:v>0.002</x:v>
      </x:c>
      <x:c r="J174" s="58" t="str">
        <x:v>已登记</x:v>
      </x:c>
    </x:row>
    <x:row r="175" ht="105.5999984741211" hidden="0" customHeight="1">
      <x:c r="A175" s="42" t="n">
        <x:v>171</x:v>
      </x:c>
      <x:c r="B175" s="49" t="str">
        <x:v>tests/test_retrieval_replan.py</x:v>
      </x:c>
      <x:c r="C175" s="49" t="str">
        <x:v>test_retry_query_overrides_old_multi_query_plan</x:v>
      </x:c>
      <x:c r="D175" s="49" t="str">
        <x:v>默认场景</x:v>
      </x:c>
      <x:c r="E175" s="49" t="str">
        <x:v>验证重规划查询优先于旧的多子查询计划。</x:v>
      </x:c>
      <x:c r="F175" s="49" t="str">
        <x:v>第二轮只执行 retry_query，不重复运行已经失败的旧计划。</x:v>
      </x:c>
      <x:c r="G175" s="49" t="str">
        <x:v>重规划动作可能被旧 sub_queries 遮蔽，形成伪 Replan。</x:v>
      </x:c>
      <x:c r="H175" s="52" t="str">
        <x:v>通过</x:v>
      </x:c>
      <x:c r="I175" s="55" t="n">
        <x:v>0.001</x:v>
      </x:c>
      <x:c r="J175" s="58" t="str">
        <x:v>已登记</x:v>
      </x:c>
    </x:row>
    <x:row r="176" ht="145.1999969482422" hidden="0" customHeight="1">
      <x:c r="A176" s="42" t="n">
        <x:v>172</x:v>
      </x:c>
      <x:c r="B176" s="49" t="str">
        <x:v>tests/test_retrieval_replan_eval.py</x:v>
      </x:c>
      <x:c r="C176" s="49" t="str">
        <x:v>test_replan_outperforms_plain_retry_and_meets_acceptance_gate</x:v>
      </x:c>
      <x:c r="D176" s="49" t="str">
        <x:v>默认场景</x:v>
      </x:c>
      <x:c r="E176" s="49" t="str">
        <x:v>验证固定故障集中 Replan 相对原样重试提升恢复率并减少无效重试。</x:v>
      </x:c>
      <x:c r="F176" s="49" t="str">
        <x:v>分类准确率 100%，候选恢复率达到门槛、语义失败无效重试率为 0，且不调用 LLM。</x:v>
      </x:c>
      <x:c r="G176" s="49" t="str">
        <x:v>Replan 可能只改变查询形式却没有改善受控恢复结果，或引入额外 Token 成本。</x:v>
      </x:c>
      <x:c r="H176" s="52" t="str">
        <x:v>通过</x:v>
      </x:c>
      <x:c r="I176" s="55" t="n">
        <x:v>0.001</x:v>
      </x:c>
      <x:c r="J176" s="58" t="str">
        <x:v>已登记</x:v>
      </x:c>
    </x:row>
    <x:row r="177" ht="118.80000305175781" hidden="0" customHeight="1">
      <x:c r="A177" s="42" t="n">
        <x:v>173</x:v>
      </x:c>
      <x:c r="B177" s="49" t="str">
        <x:v>tests/test_retrieval_snapshot_compare.py</x:v>
      </x:c>
      <x:c r="C177" s="49" t="str">
        <x:v>test_snapshot_comparison_passes_stable_complete_non_regressing_candidate</x:v>
      </x:c>
      <x:c r="D177" s="49" t="str">
        <x:v>默认场景</x:v>
      </x:c>
      <x:c r="E177" s="49" t="str">
        <x:v>验证两份完整快照在质量不回归且隔离集合稳定时可以通过晋升门槛。</x:v>
      </x:c>
      <x:c r="F177" s="49" t="str">
        <x:v>质量提升、逐题无回归、隔离集合完全一致，比较器明确返回 promotion_ready。</x:v>
      </x:c>
      <x:c r="G177" s="49" t="str">
        <x:v>稳定候选可能因比较口径错误被拒绝，阻碍经过复现验证的能力晋升。</x:v>
      </x:c>
      <x:c r="H177" s="52" t="str">
        <x:v>通过</x:v>
      </x:c>
      <x:c r="I177" s="55" t="n">
        <x:v>0.002</x:v>
      </x:c>
      <x:c r="J177" s="58" t="str">
        <x:v>已登记</x:v>
      </x:c>
    </x:row>
    <x:row r="178" ht="118.80000305175781" hidden="0" customHeight="1">
      <x:c r="A178" s="42" t="n">
        <x:v>174</x:v>
      </x:c>
      <x:c r="B178" s="49" t="str">
        <x:v>tests/test_retrieval_snapshot_compare.py</x:v>
      </x:c>
      <x:c r="C178" s="49" t="str">
        <x:v>test_snapshot_comparison_blocks_quality_or_quarantine_instability</x:v>
      </x:c>
      <x:c r="D178" s="49" t="str">
        <x:v>默认场景</x:v>
      </x:c>
      <x:c r="E178" s="49" t="str">
        <x:v>验证跨快照出现逐题质量下降或隔离集合漂移时阻止默认启用候选策略。</x:v>
      </x:c>
      <x:c r="F178" s="49" t="str">
        <x:v>比较器同时报告质量回归与隔离不稳定，并输出需要人工复核的新增和移除记录。</x:v>
      </x:c>
      <x:c r="G178" s="49" t="str">
        <x:v>只看平均指标可能掩盖逐题退化或误伤漂移，让不稳定元数据策略进入默认流程。</x:v>
      </x:c>
      <x:c r="H178" s="52" t="str">
        <x:v>通过</x:v>
      </x:c>
      <x:c r="I178" s="55" t="n">
        <x:v>0.001</x:v>
      </x:c>
      <x:c r="J178" s="58" t="str">
        <x:v>已登记</x:v>
      </x:c>
    </x:row>
    <x:row r="179" ht="118.80000305175781" hidden="0" customHeight="1">
      <x:c r="A179" s="42" t="n">
        <x:v>175</x:v>
      </x:c>
      <x:c r="B179" s="49" t="str">
        <x:v>tests/test_retrieval_stop_decision.py</x:v>
      </x:c>
      <x:c r="C179" s="49" t="str">
        <x:v>test_first_low_score_requests_replan</x:v>
      </x:c>
      <x:c r="D179" s="49" t="str">
        <x:v>默认场景</x:v>
      </x:c>
      <x:c r="E179" s="49" t="str">
        <x:v>验证首次检索低于质量门槛时输出明确的 Replan 请求状态。</x:v>
      </x:c>
      <x:c r="F179" s="49" t="str">
        <x:v>outcome 为 replan_required，停止原因为 quality_below_threshold。</x:v>
      </x:c>
      <x:c r="G179" s="49" t="str">
        <x:v>低质量首次结果可能缺少后续动作信号而直接生成答案。</x:v>
      </x:c>
      <x:c r="H179" s="52" t="str">
        <x:v>通过</x:v>
      </x:c>
      <x:c r="I179" s="55" t="n">
        <x:v>0.001</x:v>
      </x:c>
      <x:c r="J179" s="58" t="str">
        <x:v>已登记</x:v>
      </x:c>
    </x:row>
    <x:row r="180" ht="118.80000305175781" hidden="0" customHeight="1">
      <x:c r="A180" s="42" t="n">
        <x:v>176</x:v>
      </x:c>
      <x:c r="B180" s="49" t="str">
        <x:v>tests/test_retrieval_stop_decision.py</x:v>
      </x:c>
      <x:c r="C180" s="49" t="str">
        <x:v>test_second_low_score_stops_when_retry_budget_is_exhausted</x:v>
      </x:c>
      <x:c r="D180" s="49" t="str">
        <x:v>默认场景</x:v>
      </x:c>
      <x:c r="E180" s="49" t="str">
        <x:v>验证第二轮仍低质量时停止并记录重试预算耗尽。</x:v>
      </x:c>
      <x:c r="F180" s="49" t="str">
        <x:v>outcome 为 stopped_low_quality，原因是 retry_budget_exhausted。</x:v>
      </x:c>
      <x:c r="G180" s="49" t="str">
        <x:v>第二轮失败可能无审计地继续循环或被误记为成功。</x:v>
      </x:c>
      <x:c r="H180" s="52" t="str">
        <x:v>通过</x:v>
      </x:c>
      <x:c r="I180" s="55" t="n">
        <x:v>0.002</x:v>
      </x:c>
      <x:c r="J180" s="58" t="str">
        <x:v>已登记</x:v>
      </x:c>
    </x:row>
    <x:row r="181" ht="105.5999984741211" hidden="0" customHeight="1">
      <x:c r="A181" s="42" t="n">
        <x:v>177</x:v>
      </x:c>
      <x:c r="B181" s="49" t="str">
        <x:v>tests/test_retrieval_stop_decision.py</x:v>
      </x:c>
      <x:c r="C181" s="49" t="str">
        <x:v>test_second_high_score_records_recovery</x:v>
      </x:c>
      <x:c r="D181" s="49" t="str">
        <x:v>默认场景</x:v>
      </x:c>
      <x:c r="E181" s="49" t="str">
        <x:v>验证 Replan 后质量达到门槛时记录恢复成功。</x:v>
      </x:c>
      <x:c r="F181" s="49" t="str">
        <x:v>outcome 为 recovered，停止原因为 quality_threshold_met。</x:v>
      </x:c>
      <x:c r="G181" s="49" t="str">
        <x:v>成功恢复可能无法与首轮直接通过区分，影响后续能力评测。</x:v>
      </x:c>
      <x:c r="H181" s="52" t="str">
        <x:v>通过</x:v>
      </x:c>
      <x:c r="I181" s="55" t="n">
        <x:v>0.001</x:v>
      </x:c>
      <x:c r="J181" s="58" t="str">
        <x:v>已登记</x:v>
      </x:c>
    </x:row>
    <x:row r="182" ht="118.80000305175781" hidden="0" customHeight="1">
      <x:c r="A182" s="42" t="n">
        <x:v>178</x:v>
      </x:c>
      <x:c r="B182" s="49" t="str">
        <x:v>tests/test_retrieve_planning.py</x:v>
      </x:c>
      <x:c r="C182" s="49" t="str">
        <x:v>test_single_planned_query_uses_single_query_retrieval</x:v>
      </x:c>
      <x:c r="D182" s="49" t="str">
        <x:v>默认场景</x:v>
      </x:c>
      <x:c r="E182" s="49" t="str">
        <x:v>验证只有一个规划查询时走低成本单查询检索路径。</x:v>
      </x:c>
      <x:c r="F182" s="49" t="str">
        <x:v>只调用 single retrieval，agentic_rag_enabled 为 false，并保留缓存来源。</x:v>
      </x:c>
      <x:c r="G182" s="49" t="str">
        <x:v>简单问题可能误用多查询检索，造成额外请求与 Token 消耗。</x:v>
      </x:c>
      <x:c r="H182" s="52" t="str">
        <x:v>通过</x:v>
      </x:c>
      <x:c r="I182" s="55" t="n">
        <x:v>0.001</x:v>
      </x:c>
      <x:c r="J182" s="58" t="str">
        <x:v>已登记</x:v>
      </x:c>
    </x:row>
    <x:row r="183" ht="105.5999984741211" hidden="0" customHeight="1">
      <x:c r="A183" s="42" t="n">
        <x:v>179</x:v>
      </x:c>
      <x:c r="B183" s="49" t="str">
        <x:v>tests/test_retrieve_planning.py</x:v>
      </x:c>
      <x:c r="C183" s="49" t="str">
        <x:v>test_multiple_planned_queries_use_multi_query_retrieval</x:v>
      </x:c>
      <x:c r="D183" s="49" t="str">
        <x:v>默认场景</x:v>
      </x:c>
      <x:c r="E183" s="49" t="str">
        <x:v>验证多个规划查询时启用多查询检索。</x:v>
      </x:c>
      <x:c r="F183" s="49" t="str">
        <x:v>完整查询列表传入 multi retrieval，并标记 Agentic RAG 已启用。</x:v>
      </x:c>
      <x:c r="G183" s="49" t="str">
        <x:v>复杂问题可能只检索一个角度，降低论文覆盖度。</x:v>
      </x:c>
      <x:c r="H183" s="52" t="str">
        <x:v>通过</x:v>
      </x:c>
      <x:c r="I183" s="55" t="n">
        <x:v>0.002</x:v>
      </x:c>
      <x:c r="J183" s="58" t="str">
        <x:v>已登记</x:v>
      </x:c>
    </x:row>
    <x:row r="184" ht="105.5999984741211" hidden="0" customHeight="1">
      <x:c r="A184" s="42" t="n">
        <x:v>180</x:v>
      </x:c>
      <x:c r="B184" s="49" t="str">
        <x:v>tests/test_retrieve_planning.py</x:v>
      </x:c>
      <x:c r="C184" s="49" t="str">
        <x:v>test_multi_query_parallel_preserves_planned_order</x:v>
      </x:c>
      <x:c r="D184" s="49" t="str">
        <x:v>默认场景</x:v>
      </x:c>
      <x:c r="E184" s="49" t="str">
        <x:v>验证子查询完成顺序不同也不会改变规划顺序与合并结果顺序。</x:v>
      </x:c>
      <x:c r="F184" s="49" t="str">
        <x:v>慢查询和快查询并发完成后仍按 first、second 顺序收集。</x:v>
      </x:c>
      <x:c r="G184" s="49" t="str">
        <x:v>并发竞态可能使复杂任务结果不可复现。</x:v>
      </x:c>
      <x:c r="H184" s="52" t="str">
        <x:v>通过</x:v>
      </x:c>
      <x:c r="I184" s="55" t="n">
        <x:v>0.041</x:v>
      </x:c>
      <x:c r="J184" s="58" t="str">
        <x:v>已登记</x:v>
      </x:c>
    </x:row>
    <x:row r="185" ht="79.19999694824219" hidden="0" customHeight="1">
      <x:c r="A185" s="42" t="n">
        <x:v>181</x:v>
      </x:c>
      <x:c r="B185" s="49" t="str">
        <x:v>tests/test_retrieve_planning.py</x:v>
      </x:c>
      <x:c r="C185" s="49" t="str">
        <x:v>test_multi_query_single_query_does_not_create_pool</x:v>
      </x:c>
      <x:c r="D185" s="49" t="str">
        <x:v>默认场景</x:v>
      </x:c>
      <x:c r="E185" s="49" t="str">
        <x:v>验证只有一个子查询时不创建线程池。</x:v>
      </x:c>
      <x:c r="F185" s="49" t="str">
        <x:v>单子查询继续走直接调用路径。</x:v>
      </x:c>
      <x:c r="G185" s="49" t="str">
        <x:v>简单任务可能承担不必要的并发调度成本。</x:v>
      </x:c>
      <x:c r="H185" s="52" t="str">
        <x:v>通过</x:v>
      </x:c>
      <x:c r="I185" s="55" t="n">
        <x:v>0.001</x:v>
      </x:c>
      <x:c r="J185" s="58" t="str">
        <x:v>已登记</x:v>
      </x:c>
    </x:row>
    <x:row r="186" ht="118.80000305175781" hidden="0" customHeight="1">
      <x:c r="A186" s="42" t="n">
        <x:v>182</x:v>
      </x:c>
      <x:c r="B186" s="49" t="str">
        <x:v>tests/test_retrieve_tool_integration.py</x:v>
      </x:c>
      <x:c r="C186" s="49" t="str">
        <x:v>test_cache_miss_uses_tool_runtime_and_records_execution</x:v>
      </x:c>
      <x:c r="D186" s="49" t="str">
        <x:v>默认场景</x:v>
      </x:c>
      <x:c r="E186" s="49" t="str">
        <x:v>验证缓存未命中时 Retrieve Node 通过 Router 和 Executor 调用 arXiv。</x:v>
      </x:c>
      <x:c r="F186" s="49" t="str">
        <x:v>统一工具名称、查询参数、论文结果、缓存写入和执行指标全部正确。</x:v>
      </x:c>
      <x:c r="G186" s="49" t="str">
        <x:v>检索节点可能仍直接依赖 arXiv，或工具结果无法进入现有缓存和文档流程。</x:v>
      </x:c>
      <x:c r="H186" s="52" t="str">
        <x:v>通过</x:v>
      </x:c>
      <x:c r="I186" s="55" t="n">
        <x:v>0.002</x:v>
      </x:c>
      <x:c r="J186" s="58" t="str">
        <x:v>已登记</x:v>
      </x:c>
    </x:row>
    <x:row r="187" ht="105.5999984741211" hidden="0" customHeight="1">
      <x:c r="A187" s="42" t="n">
        <x:v>183</x:v>
      </x:c>
      <x:c r="B187" s="49" t="str">
        <x:v>tests/test_retrieve_tool_integration.py</x:v>
      </x:c>
      <x:c r="C187" s="49" t="str">
        <x:v>test_tool_failure_uses_existing_fallback_and_keeps_error_metadata</x:v>
      </x:c>
      <x:c r="D187" s="49" t="str">
        <x:v>默认场景</x:v>
      </x:c>
      <x:c r="E187" s="49" t="str">
        <x:v>验证统一工具执行失败后沿用现有 fallback，并保留失败原因。</x:v>
      </x:c>
      <x:c r="F187" s="49" t="str">
        <x:v>超时不会使图崩溃，静态兜底文档可用且 TIMEOUT 元数据未丢失。</x:v>
      </x:c>
      <x:c r="G187" s="49" t="str">
        <x:v>外部工具失败可能中断流程，或降级后无法定位原始错误。</x:v>
      </x:c>
      <x:c r="H187" s="52" t="str">
        <x:v>通过</x:v>
      </x:c>
      <x:c r="I187" s="55" t="n">
        <x:v>0.002</x:v>
      </x:c>
      <x:c r="J187" s="58" t="str">
        <x:v>已登记</x:v>
      </x:c>
    </x:row>
    <x:row r="188" ht="105.5999984741211" hidden="0" customHeight="1">
      <x:c r="A188" s="42" t="n">
        <x:v>184</x:v>
      </x:c>
      <x:c r="B188" s="49" t="str">
        <x:v>tests/test_test_catalog.py</x:v>
      </x:c>
      <x:c r="C188" s="49" t="str">
        <x:v>test_catalog_exactly_covers_all_test_functions</x:v>
      </x:c>
      <x:c r="D188" s="49" t="str">
        <x:v>默认场景</x:v>
      </x:c>
      <x:c r="E188" s="49" t="str">
        <x:v>强制每个测试函数都登记作用、通过含义和失败含义，并清理失效记录。</x:v>
      </x:c>
      <x:c r="F188" s="49" t="str">
        <x:v>测试源码中的函数集合与说明目录完全一致，且三个说明字段均非空。</x:v>
      </x:c>
      <x:c r="G188" s="49" t="str">
        <x:v>存在未说明的新测试、已删除测试的遗留记录，或说明字段不完整。</x:v>
      </x:c>
      <x:c r="H188" s="52" t="str">
        <x:v>通过</x:v>
      </x:c>
      <x:c r="I188" s="55" t="n">
        <x:v>0.063</x:v>
      </x:c>
      <x:c r="J188" s="58" t="str">
        <x:v>已登记</x:v>
      </x:c>
    </x:row>
    <x:row r="189" ht="105.5999984741211" hidden="0" customHeight="1">
      <x:c r="A189" s="42" t="n">
        <x:v>185</x:v>
      </x:c>
      <x:c r="B189" s="49" t="str">
        <x:v>tests/test_test_report.py</x:v>
      </x:c>
      <x:c r="C189" s="49" t="str">
        <x:v>test_parse_junit_xml_normalizes_status_duration_and_message</x:v>
      </x:c>
      <x:c r="D189" s="49" t="str">
        <x:v>默认场景</x:v>
      </x:c>
      <x:c r="E189" s="49" t="str">
        <x:v>验证测试报告采集器能把 JUnit XML 转成统一明细记录。</x:v>
      </x:c>
      <x:c r="F189" s="49" t="str">
        <x:v>通过、失败、错误、跳过状态及文件、耗时、消息和详情均正确解析。</x:v>
      </x:c>
      <x:c r="G189" s="49" t="str">
        <x:v>Excel/CSV 报告可能漏掉测试、错误状态或失败原因。</x:v>
      </x:c>
      <x:c r="H189" s="52" t="str">
        <x:v>通过</x:v>
      </x:c>
      <x:c r="I189" s="55" t="n">
        <x:v>0.013</x:v>
      </x:c>
      <x:c r="J189" s="58" t="str">
        <x:v>已登记</x:v>
      </x:c>
    </x:row>
    <x:row r="190" ht="132" hidden="0" customHeight="1">
      <x:c r="A190" s="42" t="n">
        <x:v>186</x:v>
      </x:c>
      <x:c r="B190" s="49" t="str">
        <x:v>tests/test_test_report.py</x:v>
      </x:c>
      <x:c r="C190" s="49" t="str">
        <x:v>test_summarize_calculates_counts_rate_and_duration</x:v>
      </x:c>
      <x:c r="D190" s="49" t="str">
        <x:v>默认场景</x:v>
      </x:c>
      <x:c r="E190" s="49" t="str">
        <x:v>验证测试报告总览的数量、通过率、耗时和退出码计算。</x:v>
      </x:c>
      <x:c r="F190" s="49" t="str">
        <x:v>四个示例用例被汇总为 2 通过、1 失败、1 跳过、50% 通过率和 0.875 秒。</x:v>
      </x:c>
      <x:c r="G190" s="49" t="str">
        <x:v>测试总览指标可能与明细不一致，导致质量判断错误。</x:v>
      </x:c>
      <x:c r="H190" s="52" t="str">
        <x:v>通过</x:v>
      </x:c>
      <x:c r="I190" s="55" t="n">
        <x:v>0.002</x:v>
      </x:c>
      <x:c r="J190" s="58" t="str">
        <x:v>已登记</x:v>
      </x:c>
    </x:row>
    <x:row r="191" ht="132" hidden="0" customHeight="1">
      <x:c r="A191" s="42" t="n">
        <x:v>187</x:v>
      </x:c>
      <x:c r="B191" s="49" t="str">
        <x:v>tests/test_tool_layer.py</x:v>
      </x:c>
      <x:c r="C191" s="49" t="str">
        <x:v>test_registry_registers_discovers_and_filters_tools</x:v>
      </x:c>
      <x:c r="D191" s="49" t="str">
        <x:v>默认场景</x:v>
      </x:c>
      <x:c r="E191" s="49" t="str">
        <x:v>验证 Tool Registry 可以注册、按名称发现并按能力筛选工具。</x:v>
      </x:c>
      <x:c r="F191" s="49" t="str">
        <x:v>工具注册顺序稳定，paper 等能力可以通过统一入口发现，不依赖业务节点直接导入。</x:v>
      </x:c>
      <x:c r="G191" s="49" t="str">
        <x:v>后续多数据源或 MCP 工具可能无法可靠注册、发现或路由。</x:v>
      </x:c>
      <x:c r="H191" s="52" t="str">
        <x:v>通过</x:v>
      </x:c>
      <x:c r="I191" s="55" t="n">
        <x:v>0.001</x:v>
      </x:c>
      <x:c r="J191" s="58" t="str">
        <x:v>已登记</x:v>
      </x:c>
    </x:row>
    <x:row r="192" ht="92.4000015258789" hidden="0" customHeight="1">
      <x:c r="A192" s="42" t="n">
        <x:v>188</x:v>
      </x:c>
      <x:c r="B192" s="49" t="str">
        <x:v>tests/test_tool_layer.py</x:v>
      </x:c>
      <x:c r="C192" s="49" t="str">
        <x:v>test_registry_rejects_duplicate_tool_names</x:v>
      </x:c>
      <x:c r="D192" s="49" t="str">
        <x:v>默认场景</x:v>
      </x:c>
      <x:c r="E192" s="49" t="str">
        <x:v>验证 Registry 拒绝相同稳定名称的重复工具。</x:v>
      </x:c>
      <x:c r="F192" s="49" t="str">
        <x:v>重复注册会明确报错，避免工具实现被静默覆盖。</x:v>
      </x:c>
      <x:c r="G192" s="49" t="str">
        <x:v>同名工具可能覆盖旧实现，导致实际执行版本不可追踪。</x:v>
      </x:c>
      <x:c r="H192" s="52" t="str">
        <x:v>通过</x:v>
      </x:c>
      <x:c r="I192" s="55" t="n">
        <x:v>0.002</x:v>
      </x:c>
      <x:c r="J192" s="58" t="str">
        <x:v>已登记</x:v>
      </x:c>
    </x:row>
    <x:row r="193" ht="105.5999984741211" hidden="0" customHeight="1">
      <x:c r="A193" s="42" t="n">
        <x:v>189</x:v>
      </x:c>
      <x:c r="B193" s="49" t="str">
        <x:v>tests/test_tool_layer.py</x:v>
      </x:c>
      <x:c r="C193" s="49" t="str">
        <x:v>test_executor_returns_structured_error_for_unknown_tool</x:v>
      </x:c>
      <x:c r="D193" s="49" t="str">
        <x:v>默认场景</x:v>
      </x:c>
      <x:c r="E193" s="49" t="str">
        <x:v>验证执行不存在的工具时返回标准化错误而不是抛出未处理异常。</x:v>
      </x:c>
      <x:c r="F193" s="49" t="str">
        <x:v>结果包含 TOOL_NOT_FOUND、零执行次数和可观测延迟。</x:v>
      </x:c>
      <x:c r="G193" s="49" t="str">
        <x:v>错误路由可能让 LangGraph 整体崩溃或产生无法分类的失败。</x:v>
      </x:c>
      <x:c r="H193" s="52" t="str">
        <x:v>通过</x:v>
      </x:c>
      <x:c r="I193" s="55" t="n">
        <x:v>0.001</x:v>
      </x:c>
      <x:c r="J193" s="58" t="str">
        <x:v>已登记</x:v>
      </x:c>
    </x:row>
    <x:row r="194" ht="105.5999984741211" hidden="0" customHeight="1">
      <x:c r="A194" s="42" t="n">
        <x:v>190</x:v>
      </x:c>
      <x:c r="B194" s="49" t="str">
        <x:v>tests/test_tool_layer.py</x:v>
      </x:c>
      <x:c r="C194" s="49" t="str">
        <x:v>test_executor_rejects_invalid_input_without_invoking_tool</x:v>
      </x:c>
      <x:c r="D194" s="49" t="str">
        <x:v>默认场景</x:v>
      </x:c>
      <x:c r="E194" s="49" t="str">
        <x:v>验证 Tool Executor 在执行前使用 Pydantic 校验输入参数。</x:v>
      </x:c>
      <x:c r="F194" s="49" t="str">
        <x:v>非法参数被 INVALID_INPUT 拦截，底层工具完全没有执行。</x:v>
      </x:c>
      <x:c r="G194" s="49" t="str">
        <x:v>错误参数可能进入外部 API，浪费调用额度或触发不可控行为。</x:v>
      </x:c>
      <x:c r="H194" s="52" t="str">
        <x:v>通过</x:v>
      </x:c>
      <x:c r="I194" s="55" t="n">
        <x:v>0.001</x:v>
      </x:c>
      <x:c r="J194" s="58" t="str">
        <x:v>已登记</x:v>
      </x:c>
    </x:row>
    <x:row r="195" ht="118.80000305175781" hidden="0" customHeight="1">
      <x:c r="A195" s="42" t="n">
        <x:v>191</x:v>
      </x:c>
      <x:c r="B195" s="49" t="str">
        <x:v>tests/test_tool_layer.py</x:v>
      </x:c>
      <x:c r="C195" s="49" t="str">
        <x:v>test_executor_blocks_non_read_only_tool_before_invocation</x:v>
      </x:c>
      <x:c r="D195" s="49" t="str">
        <x:v>默认场景</x:v>
      </x:c>
      <x:c r="E195" s="49" t="str">
        <x:v>验证默认 ToolPolicy 在调用前拒绝非只读工具。</x:v>
      </x:c>
      <x:c r="F195" s="49" t="str">
        <x:v>写工具返回 PERMISSION_DENIED、执行次数为零，底层函数没有运行。</x:v>
      </x:c>
      <x:c r="G195" s="49" t="str">
        <x:v>风险等级可能只被记录而未执行，导致未授权写操作进入外部系统。</x:v>
      </x:c>
      <x:c r="H195" s="52" t="str">
        <x:v>通过</x:v>
      </x:c>
      <x:c r="I195" s="55" t="n">
        <x:v>0.002</x:v>
      </x:c>
      <x:c r="J195" s="58" t="str">
        <x:v>已登记</x:v>
      </x:c>
    </x:row>
    <x:row r="196" ht="105.5999984741211" hidden="0" customHeight="1">
      <x:c r="A196" s="42" t="n">
        <x:v>192</x:v>
      </x:c>
      <x:c r="B196" s="49" t="str">
        <x:v>tests/test_tool_layer.py</x:v>
      </x:c>
      <x:c r="C196" s="49" t="str">
        <x:v>test_executor_validates_output_and_records_execution_metadata</x:v>
      </x:c>
      <x:c r="D196" s="49" t="str">
        <x:v>默认场景</x:v>
      </x:c>
      <x:c r="E196" s="49" t="str">
        <x:v>验证成功工具调用会校验输出并记录版本、来源、能力、风险和延迟。</x:v>
      </x:c>
      <x:c r="F196" s="49" t="str">
        <x:v>标准数据、工具版本、一次执行和只读风险元数据全部准确返回。</x:v>
      </x:c>
      <x:c r="G196" s="49" t="str">
        <x:v>下游可能收到不可信结构，或无法审计工具版本、来源和成本。</x:v>
      </x:c>
      <x:c r="H196" s="52" t="str">
        <x:v>通过</x:v>
      </x:c>
      <x:c r="I196" s="55" t="n">
        <x:v>0.003</x:v>
      </x:c>
      <x:c r="J196" s="58" t="str">
        <x:v>已登记</x:v>
      </x:c>
    </x:row>
    <x:row r="197" ht="105.5999984741211" hidden="0" customHeight="1">
      <x:c r="A197" s="42" t="n">
        <x:v>193</x:v>
      </x:c>
      <x:c r="B197" s="49" t="str">
        <x:v>tests/test_tool_layer.py</x:v>
      </x:c>
      <x:c r="C197" s="49" t="str">
        <x:v>test_executor_retries_retryable_failure_then_returns_success</x:v>
      </x:c>
      <x:c r="D197" s="49" t="str">
        <x:v>默认场景</x:v>
      </x:c>
      <x:c r="E197" s="49" t="str">
        <x:v>验证临时执行错误可以按照有限 RetryPolicy 重试。</x:v>
      </x:c>
      <x:c r="F197" s="49" t="str">
        <x:v>第一次连接错误后只重试一次并成功，attempt_count 准确记录为 2。</x:v>
      </x:c>
      <x:c r="G197" s="49" t="str">
        <x:v>临时错误可能无法恢复，或工具发生无上限重复调用。</x:v>
      </x:c>
      <x:c r="H197" s="52" t="str">
        <x:v>通过</x:v>
      </x:c>
      <x:c r="I197" s="55" t="n">
        <x:v>0.004</x:v>
      </x:c>
      <x:c r="J197" s="58" t="str">
        <x:v>已登记</x:v>
      </x:c>
    </x:row>
    <x:row r="198" ht="105.5999984741211" hidden="0" customHeight="1">
      <x:c r="A198" s="42" t="n">
        <x:v>194</x:v>
      </x:c>
      <x:c r="B198" s="49" t="str">
        <x:v>tests/test_tool_layer.py</x:v>
      </x:c>
      <x:c r="C198" s="49" t="str">
        <x:v>test_executor_returns_structured_rate_limit_after_finite_retries</x:v>
      </x:c>
      <x:c r="D198" s="49" t="str">
        <x:v>默认场景</x:v>
      </x:c>
      <x:c r="E198" s="49" t="str">
        <x:v>验证数据源限流经过有限次数重试后返回独立标准错误码。</x:v>
      </x:c>
      <x:c r="F198" s="49" t="str">
        <x:v>执行两次后停止并返回 RATE_LIMITED，不会无限消耗 API 额度。</x:v>
      </x:c>
      <x:c r="G198" s="49" t="str">
        <x:v>429 可能被误记为普通异常、无法触发正确恢复，或产生无限重试。</x:v>
      </x:c>
      <x:c r="H198" s="52" t="str">
        <x:v>通过</x:v>
      </x:c>
      <x:c r="I198" s="55" t="n">
        <x:v>0.002</x:v>
      </x:c>
      <x:c r="J198" s="58" t="str">
        <x:v>已登记</x:v>
      </x:c>
    </x:row>
    <x:row r="199" ht="92.4000015258789" hidden="0" customHeight="1">
      <x:c r="A199" s="42" t="n">
        <x:v>195</x:v>
      </x:c>
      <x:c r="B199" s="49" t="str">
        <x:v>tests/test_tool_layer.py</x:v>
      </x:c>
      <x:c r="C199" s="49" t="str">
        <x:v>test_executor_returns_timeout_after_bounded_wait</x:v>
      </x:c>
      <x:c r="D199" s="49" t="str">
        <x:v>默认场景</x:v>
      </x:c>
      <x:c r="E199" s="49" t="str">
        <x:v>验证工具超过配置时间后返回结构化超时错误。</x:v>
      </x:c>
      <x:c r="F199" s="49" t="str">
        <x:v>执行在有限等待后返回 TIMEOUT，并准确记录一次尝试。</x:v>
      </x:c>
      <x:c r="G199" s="49" t="str">
        <x:v>外部工具可能无限阻塞请求，或超时无法被失败路由识别。</x:v>
      </x:c>
      <x:c r="H199" s="52" t="str">
        <x:v>通过</x:v>
      </x:c>
      <x:c r="I199" s="55" t="n">
        <x:v>0.011</x:v>
      </x:c>
      <x:c r="J199" s="58" t="str">
        <x:v>已登记</x:v>
      </x:c>
    </x:row>
    <x:row r="200" ht="118.80000305175781" hidden="0" customHeight="1">
      <x:c r="A200" s="42" t="n">
        <x:v>196</x:v>
      </x:c>
      <x:c r="B200" s="49" t="str">
        <x:v>tests/test_tool_layer.py</x:v>
      </x:c>
      <x:c r="C200" s="49" t="str">
        <x:v>test_executor_rejects_output_that_breaks_tool_contract</x:v>
      </x:c>
      <x:c r="D200" s="49" t="str">
        <x:v>默认场景</x:v>
      </x:c>
      <x:c r="E200" s="49" t="str">
        <x:v>验证工具返回值不符合输出 Schema 时被拒绝。</x:v>
      </x:c>
      <x:c r="F200" s="49" t="str">
        <x:v>缺失 doubled 字段的输出返回 INVALID_OUTPUT，不会传给下游节点。</x:v>
      </x:c>
      <x:c r="G200" s="49" t="str">
        <x:v>外部 API 或 MCP 结构变化可能静默污染 AgentState。</x:v>
      </x:c>
      <x:c r="H200" s="52" t="str">
        <x:v>通过</x:v>
      </x:c>
      <x:c r="I200" s="55" t="n">
        <x:v>0.002</x:v>
      </x:c>
      <x:c r="J200" s="58" t="str">
        <x:v>已登记</x:v>
      </x:c>
    </x:row>
    <x:row r="201" ht="92.4000015258789" hidden="0" customHeight="1">
      <x:c r="A201" s="42" t="n">
        <x:v>197</x:v>
      </x:c>
      <x:c r="B201" s="49" t="str">
        <x:v>tests/test_tool_layer.py</x:v>
      </x:c>
      <x:c r="C201" s="49" t="str">
        <x:v>test_router_resolves_registered_capability_and_source</x:v>
      </x:c>
      <x:c r="D201" s="49" t="str">
        <x:v>默认场景</x:v>
      </x:c>
      <x:c r="E201" s="49" t="str">
        <x:v>验证 Tool Router 根据能力与数据源选择稳定工具名称。</x:v>
      </x:c>
      <x:c r="F201" s="49" t="str">
        <x:v>arXiv 路由正确，未注册的 OpenAlex 路由明确失败。</x:v>
      </x:c>
      <x:c r="G201" s="49" t="str">
        <x:v>数据源选择可能错误或在无实现时静默调用其他工具。</x:v>
      </x:c>
      <x:c r="H201" s="52" t="str">
        <x:v>通过</x:v>
      </x:c>
      <x:c r="I201" s="55" t="n">
        <x:v>0.002</x:v>
      </x:c>
      <x:c r="J201" s="58" t="str">
        <x:v>已登记</x:v>
      </x:c>
    </x:row>
    <x:row r="202" ht="92.4000015258789" hidden="0" customHeight="1">
      <x:c r="A202" s="42" t="n">
        <x:v>198</x:v>
      </x:c>
      <x:c r="B202" s="49" t="str">
        <x:v>tests/test_tool_layer.py</x:v>
      </x:c>
      <x:c r="C202" s="49" t="str">
        <x:v>test_arxiv_adapter_preserves_native_search_behavior</x:v>
      </x:c>
      <x:c r="D202" s="49" t="str">
        <x:v>默认场景</x:v>
      </x:c>
      <x:c r="E202" s="49" t="str">
        <x:v>验证 arXiv Adapter 保留现有查询词、数量和论文字段。</x:v>
      </x:c>
      <x:c r="F202" s="49" t="str">
        <x:v>适配器把相同参数传给原生函数，并完整返回论文标识。</x:v>
      </x:c>
      <x:c r="G202" s="49" t="str">
        <x:v>工具层改造可能改变原有 arXiv 行为或丢失论文字段。</x:v>
      </x:c>
      <x:c r="H202" s="52" t="str">
        <x:v>通过</x:v>
      </x:c>
      <x:c r="I202" s="55" t="n">
        <x:v>0.002</x:v>
      </x:c>
      <x:c r="J202" s="58" t="str">
        <x:v>已登记</x:v>
      </x:c>
    </x:row>
    <x:row r="203" ht="132" hidden="0" customHeight="1">
      <x:c r="A203" s="42" t="n">
        <x:v>199</x:v>
      </x:c>
      <x:c r="B203" s="49" t="str">
        <x:v>tests/test_tool_layer.py</x:v>
      </x:c>
      <x:c r="C203" s="49" t="str">
        <x:v>test_arxiv_lookup_adapter_uses_native_identity_contract</x:v>
      </x:c>
      <x:c r="D203" s="49" t="str">
        <x:v>默认场景</x:v>
      </x:c>
      <x:c r="E203" s="49" t="str">
        <x:v>验证工具层可以按 arXiv 原生 ID 查询单篇规范元数据，而不需要退化为关键词搜索。</x:v>
      </x:c>
      <x:c r="F203" s="49" t="str">
        <x:v>lookup 工具准确传递 ID，并通过统一 Pydantic 输出协议返回论文。</x:v>
      </x:c>
      <x:c r="G203" s="49" t="str">
        <x:v>身份校验可能误用相关性搜索结果，无法证明返回论文就是被声明的规范身份。</x:v>
      </x:c>
      <x:c r="H203" s="52" t="str">
        <x:v>通过</x:v>
      </x:c>
      <x:c r="I203" s="55" t="n">
        <x:v>0.001</x:v>
      </x:c>
      <x:c r="J203" s="58" t="str">
        <x:v>已登记</x:v>
      </x:c>
    </x:row>
    <x:row r="204" ht="145.1999969482422" hidden="0" customHeight="1">
      <x:c r="A204" s="42" t="n">
        <x:v>200</x:v>
      </x:c>
      <x:c r="B204" s="49" t="str">
        <x:v>tests/test_tool_layer.py</x:v>
      </x:c>
      <x:c r="C204" s="49" t="str">
        <x:v>test_crossref_client_normalizes_doi_metadata</x:v>
      </x:c>
      <x:c r="D204" s="49" t="str">
        <x:v>默认场景</x:v>
      </x:c>
      <x:c r="E204" s="49" t="str">
        <x:v>验证 Crossref 客户端正确编码 DOI，并把标题、作者、年份和链接归一为统一论文结构。</x:v>
      </x:c>
      <x:c r="F204" s="49" t="str">
        <x:v>带斜杠 DOI 被安全编码，Crossref 响应字段准确进入 PaperRecord。</x:v>
      </x:c>
      <x:c r="G204" s="49" t="str">
        <x:v>普通 DOI 查询可能因 URL 错误或字段映射错误产生伪冲突和错误修复。</x:v>
      </x:c>
      <x:c r="H204" s="52" t="str">
        <x:v>通过</x:v>
      </x:c>
      <x:c r="I204" s="55" t="n">
        <x:v>0.002</x:v>
      </x:c>
      <x:c r="J204" s="58" t="str">
        <x:v>已登记</x:v>
      </x:c>
    </x:row>
    <x:row r="205" ht="145.1999969482422" hidden="0" customHeight="1">
      <x:c r="A205" s="42" t="n">
        <x:v>201</x:v>
      </x:c>
      <x:c r="B205" s="49" t="str">
        <x:v>tests/test_tool_layer.py</x:v>
      </x:c>
      <x:c r="C205" s="49" t="str">
        <x:v>test_crossref_lookup_adapter_uses_shared_lookup_contract</x:v>
      </x:c>
      <x:c r="D205" s="49" t="str">
        <x:v>默认场景</x:v>
      </x:c>
      <x:c r="E205" s="49" t="str">
        <x:v>验证 Crossref 与 arXiv 共用 paper.lookup 工具能力和 Pydantic 输出契约。</x:v>
      </x:c>
      <x:c r="F205" s="49" t="str">
        <x:v>同一 Router、Registry、Policy 和 Executor 可以替换 authority provider。</x:v>
      </x:c>
      <x:c r="G205" s="49" t="str">
        <x:v>Crossref 可能变成绕过工具约束的特例，增加后续 MCP 接入和选型替换成本。</x:v>
      </x:c>
      <x:c r="H205" s="52" t="str">
        <x:v>通过</x:v>
      </x:c>
      <x:c r="I205" s="55" t="n">
        <x:v>0.001</x:v>
      </x:c>
      <x:c r="J205" s="58" t="str">
        <x:v>已登记</x:v>
      </x:c>
    </x:row>
    <x:row r="206" ht="132" hidden="0" customHeight="1">
      <x:c r="A206" s="42" t="n">
        <x:v>202</x:v>
      </x:c>
      <x:c r="B206" s="49" t="str">
        <x:v>tests/test_tool_layer.py</x:v>
      </x:c>
      <x:c r="C206" s="49" t="str">
        <x:v>test_semantic_scholar_client_normalizes_doi_metadata</x:v>
      </x:c>
      <x:c r="D206" s="49" t="str">
        <x:v>默认场景</x:v>
      </x:c>
      <x:c r="E206" s="49" t="str">
        <x:v>验证 Semantic Scholar DOI 精确查询、API Key 请求头和统一论文字段映射。</x:v>
      </x:c>
      <x:c r="F206" s="49" t="str">
        <x:v>DOI 被安全编码，作者、年份、外部 DOI 与开放 PDF 进入 PaperRecord。</x:v>
      </x:c>
      <x:c r="G206" s="49" t="str">
        <x:v>替代 provider 可能因 URL 或认证错误产生系统性失败。</x:v>
      </x:c>
      <x:c r="H206" s="52" t="str">
        <x:v>通过</x:v>
      </x:c>
      <x:c r="I206" s="55" t="n">
        <x:v>0.002</x:v>
      </x:c>
      <x:c r="J206" s="58" t="str">
        <x:v>已登记</x:v>
      </x:c>
    </x:row>
    <x:row r="207" ht="118.80000305175781" hidden="0" customHeight="1">
      <x:c r="A207" s="42" t="n">
        <x:v>203</x:v>
      </x:c>
      <x:c r="B207" s="49" t="str">
        <x:v>tests/test_tool_layer.py</x:v>
      </x:c>
      <x:c r="C207" s="49" t="str">
        <x:v>test_semantic_scholar_adapter_uses_shared_lookup_contract</x:v>
      </x:c>
      <x:c r="D207" s="49" t="str">
        <x:v>默认场景</x:v>
      </x:c>
      <x:c r="E207" s="49" t="str">
        <x:v>验证 Semantic Scholar 与 Crossref 共用 paper.lookup 工具契约。</x:v>
      </x:c>
      <x:c r="F207" s="49" t="str">
        <x:v>Router 和 Executor 可以按 provider 替换实现而无需改动调用方。</x:v>
      </x:c>
      <x:c r="G207" s="49" t="str">
        <x:v>第二候选源可能绕过 Registry、Policy 和输出校验，破坏工具层边界。</x:v>
      </x:c>
      <x:c r="H207" s="52" t="str">
        <x:v>通过</x:v>
      </x:c>
      <x:c r="I207" s="55" t="n">
        <x:v>0.001</x:v>
      </x:c>
      <x:c r="J207" s="58" t="str">
        <x:v>已登记</x:v>
      </x:c>
    </x:row>
    <x:row r="208" ht="92.4000015258789" hidden="0" customHeight="1">
      <x:c r="A208" s="42" t="n">
        <x:v>204</x:v>
      </x:c>
      <x:c r="B208" s="49" t="str">
        <x:v>tests/test_tool_layer.py</x:v>
      </x:c>
      <x:c r="C208" s="49" t="str">
        <x:v>test_semantic_scholar_client_maps_rate_limit_to_tool_error</x:v>
      </x:c>
      <x:c r="D208" s="49" t="str">
        <x:v>默认场景</x:v>
      </x:c>
      <x:c r="E208" s="49" t="str">
        <x:v>验证 Semantic Scholar HTTP 429 被映射为 RATE_LIMITED。</x:v>
      </x:c>
      <x:c r="F208" s="49" t="str">
        <x:v>限流进入可重试失败类别，不被误记为论文查无。</x:v>
      </x:c>
      <x:c r="G208" s="49" t="str">
        <x:v>匿名访问限流可能污染覆盖率并错误触发论文隔离。</x:v>
      </x:c>
      <x:c r="H208" s="52" t="str">
        <x:v>通过</x:v>
      </x:c>
      <x:c r="I208" s="55" t="n">
        <x:v>0.001</x:v>
      </x:c>
      <x:c r="J208" s="58" t="str">
        <x:v>已登记</x:v>
      </x:c>
    </x:row>
    <x:row r="209" ht="132" hidden="0" customHeight="1">
      <x:c r="A209" s="45" t="n">
        <x:v>205</x:v>
      </x:c>
      <x:c r="B209" s="50" t="str">
        <x:v>tests/test_tool_layer.py</x:v>
      </x:c>
      <x:c r="C209" s="50" t="str">
        <x:v>test_metrics_reports_tool_execution_success_failure_and_latency</x:v>
      </x:c>
      <x:c r="D209" s="50" t="str">
        <x:v>默认场景</x:v>
      </x:c>
      <x:c r="E209" s="50" t="str">
        <x:v>验证 Metrics 汇总每次工具调用的成功、失败、耗时和错误明细。</x:v>
      </x:c>
      <x:c r="F209" s="50" t="str">
        <x:v>两次调用准确统计为一成功、一失败、总耗时 2 秒，并保留 TIMEOUT。</x:v>
      </x:c>
      <x:c r="G209" s="50" t="str">
        <x:v>工具观测数据可能漏记或汇总错误，无法支持多数据源和 MCP 评测。</x:v>
      </x:c>
      <x:c r="H209" s="53" t="str">
        <x:v>通过</x:v>
      </x:c>
      <x:c r="I209" s="56" t="n">
        <x:v>0.004</x:v>
      </x:c>
      <x:c r="J209" s="59" t="str">
        <x:v>已登记</x:v>
      </x:c>
    </x:row>
  </x:sheetData>
  <x:mergeCells>
    <x:mergeCell ref="A1:J1"/>
    <x:mergeCell ref="A2:J2"/>
  </x:mergeCells>
  <x:conditionalFormatting sqref="H5:H209">
    <x:cfRule type="containsText" dxfId="4" priority="1" operator="containsText" text="通过"/>
    <x:cfRule type="containsText" dxfId="5" priority="2" operator="containsText" text="失败"/>
    <x:cfRule type="containsText" dxfId="6" priority="3" operator="containsText" text="错误"/>
    <x:cfRule type="containsText" dxfId="7" priority="4" operator="containsText" text="跳过"/>
  </x:conditionalFormatting>
  <x:conditionalFormatting sqref="J5:J209">
    <x:cfRule type="containsText" dxfId="8" priority="5" operator="containsText" text="未登记"/>
  </x:conditionalFormatting>
  <x:pageMargins left="0.7" right="0.7" top="0.75" bottom="0.75" header="0.3" footer="0.3"/>
  <x:tableParts count="1">
    <x:tablePart xmlns:r="http://schemas.openxmlformats.org/officeDocument/2006/relationships" r:id="R506bed307c8749e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7" hidden="0" customWidth="1"/>
    <x:col min="2" max="2" width="25" hidden="0" customWidth="1"/>
    <x:col min="3" max="3" width="42" hidden="0" customWidth="1"/>
    <x:col min="4" max="4" width="10" hidden="0" customWidth="1"/>
    <x:col min="5" max="5" width="32" hidden="0" customWidth="1"/>
    <x:col min="6" max="6" width="70" hidden="0" customWidth="1"/>
  </x:cols>
  <x:sheetData>
    <x:row r="1" ht="30" customHeight="1">
      <x:c r="A1" s="3" t="str">
        <x:v>失败与错误明细</x:v>
      </x:c>
      <x:c r="B1" s="3"/>
      <x:c r="C1" s="3"/>
      <x:c r="D1" s="3"/>
      <x:c r="E1" s="3"/>
      <x:c r="F1" s="3"/>
    </x:row>
    <x:row r="3">
      <x:c r="A3" s="16" t="str">
        <x:v>序号</x:v>
      </x:c>
      <x:c r="B3" s="17" t="str">
        <x:v>测试文件</x:v>
      </x:c>
      <x:c r="C3" s="17" t="str">
        <x:v>测试用例</x:v>
      </x:c>
      <x:c r="D3" s="17" t="str">
        <x:v>状态</x:v>
      </x:c>
      <x:c r="E3" s="17" t="str">
        <x:v>消息</x:v>
      </x:c>
      <x:c r="F3" s="18" t="str">
        <x:v>错误详情</x:v>
      </x:c>
    </x:row>
    <x:row r="4">
      <x:c r="A4" s="125" t="str">
        <x:v>本次测试没有失败或错误。</x:v>
      </x:c>
      <x:c r="B4" s="125"/>
      <x:c r="C4" s="125"/>
      <x:c r="D4" s="125"/>
      <x:c r="E4" s="125"/>
      <x:c r="F4" s="125"/>
    </x:row>
    <x:row r="5">
      <x:c r="A5" s="125"/>
      <x:c r="B5" s="125"/>
      <x:c r="C5" s="125"/>
      <x:c r="D5" s="125"/>
      <x:c r="E5" s="125"/>
      <x:c r="F5" s="125"/>
    </x:row>
  </x:sheetData>
  <x:mergeCells>
    <x:mergeCell ref="A1:F1"/>
    <x:mergeCell ref="A4:F5"/>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7" hidden="0" customWidth="1"/>
    <x:col min="2" max="2" width="16"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s>
  <x:sheetData>
    <x:row r="1" ht="30" customHeight="1">
      <x:c r="A1" s="3" t="str">
        <x:v>本地单元测试历史趋势</x:v>
      </x:c>
      <x:c r="B1" s="3"/>
      <x:c r="C1" s="3"/>
      <x:c r="D1" s="3"/>
      <x:c r="E1" s="3"/>
      <x:c r="F1" s="3"/>
      <x:c r="G1" s="3"/>
      <x:c r="H1" s="3"/>
      <x:c r="I1" s="3"/>
      <x:c r="J1" s="3"/>
    </x:row>
    <x:row r="3">
      <x:c r="A3" s="16" t="str">
        <x:v>运行时间</x:v>
      </x:c>
      <x:c r="B3" s="17" t="str">
        <x:v>Git Commit</x:v>
      </x:c>
      <x:c r="C3" s="17" t="str">
        <x:v>总数</x:v>
      </x:c>
      <x:c r="D3" s="17" t="str">
        <x:v>通过</x:v>
      </x:c>
      <x:c r="E3" s="17" t="str">
        <x:v>失败</x:v>
      </x:c>
      <x:c r="F3" s="17" t="str">
        <x:v>错误</x:v>
      </x:c>
      <x:c r="G3" s="17" t="str">
        <x:v>跳过</x:v>
      </x:c>
      <x:c r="H3" s="17" t="str">
        <x:v>通过率</x:v>
      </x:c>
      <x:c r="I3" s="17" t="str">
        <x:v>耗时（秒）</x:v>
      </x:c>
      <x:c r="J3" s="18" t="str">
        <x:v>退出码</x:v>
      </x:c>
    </x:row>
    <x:row r="4">
      <x:c r="A4" s="126" t="n">
        <x:v>46229.396423611106</x:v>
      </x:c>
      <x:c r="B4" s="22" t="str">
        <x:v>a7208329c8a1</x:v>
      </x:c>
      <x:c r="C4" s="22" t="n">
        <x:v>62</x:v>
      </x:c>
      <x:c r="D4" s="22" t="n">
        <x:v>62</x:v>
      </x:c>
      <x:c r="E4" s="22" t="n">
        <x:v>0</x:v>
      </x:c>
      <x:c r="F4" s="22" t="n">
        <x:v>0</x:v>
      </x:c>
      <x:c r="G4" s="22" t="n">
        <x:v>0</x:v>
      </x:c>
      <x:c r="H4" s="129" t="n">
        <x:v>1</x:v>
      </x:c>
      <x:c r="I4" s="28" t="n">
        <x:v>0.228</x:v>
      </x:c>
      <x:c r="J4" s="22" t="n">
        <x:v>0</x:v>
      </x:c>
    </x:row>
    <x:row r="5">
      <x:c r="A5" s="127" t="n">
        <x:v>46229.4059375</x:v>
      </x:c>
      <x:c r="B5" s="23" t="str">
        <x:v>a7208329c8a1</x:v>
      </x:c>
      <x:c r="C5" s="23" t="n">
        <x:v>63</x:v>
      </x:c>
      <x:c r="D5" s="23" t="n">
        <x:v>63</x:v>
      </x:c>
      <x:c r="E5" s="23" t="n">
        <x:v>0</x:v>
      </x:c>
      <x:c r="F5" s="23" t="n">
        <x:v>0</x:v>
      </x:c>
      <x:c r="G5" s="23" t="n">
        <x:v>0</x:v>
      </x:c>
      <x:c r="H5" s="130" t="n">
        <x:v>1</x:v>
      </x:c>
      <x:c r="I5" s="29" t="n">
        <x:v>0.322</x:v>
      </x:c>
      <x:c r="J5" s="23" t="n">
        <x:v>0</x:v>
      </x:c>
    </x:row>
    <x:row r="6">
      <x:c r="A6" s="127" t="n">
        <x:v>46229.40620370371</x:v>
      </x:c>
      <x:c r="B6" s="23" t="str">
        <x:v>a7208329c8a1</x:v>
      </x:c>
      <x:c r="C6" s="23" t="n">
        <x:v>63</x:v>
      </x:c>
      <x:c r="D6" s="23" t="n">
        <x:v>63</x:v>
      </x:c>
      <x:c r="E6" s="23" t="n">
        <x:v>0</x:v>
      </x:c>
      <x:c r="F6" s="23" t="n">
        <x:v>0</x:v>
      </x:c>
      <x:c r="G6" s="23" t="n">
        <x:v>0</x:v>
      </x:c>
      <x:c r="H6" s="130" t="n">
        <x:v>1</x:v>
      </x:c>
      <x:c r="I6" s="29" t="n">
        <x:v>0.236</x:v>
      </x:c>
      <x:c r="J6" s="23" t="n">
        <x:v>0</x:v>
      </x:c>
    </x:row>
    <x:row r="7">
      <x:c r="A7" s="127" t="n">
        <x:v>46239.831284722226</x:v>
      </x:c>
      <x:c r="B7" s="23" t="str">
        <x:v>a7208329c8a1</x:v>
      </x:c>
      <x:c r="C7" s="23" t="n">
        <x:v>63</x:v>
      </x:c>
      <x:c r="D7" s="23" t="n">
        <x:v>63</x:v>
      </x:c>
      <x:c r="E7" s="23" t="n">
        <x:v>0</x:v>
      </x:c>
      <x:c r="F7" s="23" t="n">
        <x:v>0</x:v>
      </x:c>
      <x:c r="G7" s="23" t="n">
        <x:v>0</x:v>
      </x:c>
      <x:c r="H7" s="130" t="n">
        <x:v>1</x:v>
      </x:c>
      <x:c r="I7" s="29" t="n">
        <x:v>0.315</x:v>
      </x:c>
      <x:c r="J7" s="23" t="n">
        <x:v>0</x:v>
      </x:c>
    </x:row>
    <x:row r="8">
      <x:c r="A8" s="127" t="n">
        <x:v>46239.83746527778</x:v>
      </x:c>
      <x:c r="B8" s="23" t="str">
        <x:v>a8140b0a2b65</x:v>
      </x:c>
      <x:c r="C8" s="23" t="n">
        <x:v>76</x:v>
      </x:c>
      <x:c r="D8" s="23" t="n">
        <x:v>76</x:v>
      </x:c>
      <x:c r="E8" s="23" t="n">
        <x:v>0</x:v>
      </x:c>
      <x:c r="F8" s="23" t="n">
        <x:v>0</x:v>
      </x:c>
      <x:c r="G8" s="23" t="n">
        <x:v>0</x:v>
      </x:c>
      <x:c r="H8" s="130" t="n">
        <x:v>1</x:v>
      </x:c>
      <x:c r="I8" s="29" t="n">
        <x:v>0.294</x:v>
      </x:c>
      <x:c r="J8" s="23" t="n">
        <x:v>0</x:v>
      </x:c>
    </x:row>
    <x:row r="9">
      <x:c r="A9" s="127" t="n">
        <x:v>46239.84103009259</x:v>
      </x:c>
      <x:c r="B9" s="23" t="str">
        <x:v>a8140b0a2b65</x:v>
      </x:c>
      <x:c r="C9" s="23" t="n">
        <x:v>77</x:v>
      </x:c>
      <x:c r="D9" s="23" t="n">
        <x:v>77</x:v>
      </x:c>
      <x:c r="E9" s="23" t="n">
        <x:v>0</x:v>
      </x:c>
      <x:c r="F9" s="23" t="n">
        <x:v>0</x:v>
      </x:c>
      <x:c r="G9" s="23" t="n">
        <x:v>0</x:v>
      </x:c>
      <x:c r="H9" s="130" t="n">
        <x:v>1</x:v>
      </x:c>
      <x:c r="I9" s="29" t="n">
        <x:v>0.368</x:v>
      </x:c>
      <x:c r="J9" s="23" t="n">
        <x:v>0</x:v>
      </x:c>
    </x:row>
    <x:row r="10">
      <x:c r="A10" s="127" t="n">
        <x:v>46239.84987268518</x:v>
      </x:c>
      <x:c r="B10" s="23" t="str">
        <x:v>a8140b0a2b65</x:v>
      </x:c>
      <x:c r="C10" s="23" t="n">
        <x:v>78</x:v>
      </x:c>
      <x:c r="D10" s="23" t="n">
        <x:v>78</x:v>
      </x:c>
      <x:c r="E10" s="23" t="n">
        <x:v>0</x:v>
      </x:c>
      <x:c r="F10" s="23" t="n">
        <x:v>0</x:v>
      </x:c>
      <x:c r="G10" s="23" t="n">
        <x:v>0</x:v>
      </x:c>
      <x:c r="H10" s="130" t="n">
        <x:v>1</x:v>
      </x:c>
      <x:c r="I10" s="29" t="n">
        <x:v>0.322</x:v>
      </x:c>
      <x:c r="J10" s="23" t="n">
        <x:v>0</x:v>
      </x:c>
    </x:row>
    <x:row r="11">
      <x:c r="A11" s="127" t="n">
        <x:v>46239.878125</x:v>
      </x:c>
      <x:c r="B11" s="23" t="str">
        <x:v>519a734ff3c7</x:v>
      </x:c>
      <x:c r="C11" s="23" t="n">
        <x:v>89</x:v>
      </x:c>
      <x:c r="D11" s="23" t="n">
        <x:v>89</x:v>
      </x:c>
      <x:c r="E11" s="23" t="n">
        <x:v>0</x:v>
      </x:c>
      <x:c r="F11" s="23" t="n">
        <x:v>0</x:v>
      </x:c>
      <x:c r="G11" s="23" t="n">
        <x:v>0</x:v>
      </x:c>
      <x:c r="H11" s="130" t="n">
        <x:v>1</x:v>
      </x:c>
      <x:c r="I11" s="29" t="n">
        <x:v>0.3</x:v>
      </x:c>
      <x:c r="J11" s="23" t="n">
        <x:v>0</x:v>
      </x:c>
    </x:row>
    <x:row r="12">
      <x:c r="A12" s="127" t="n">
        <x:v>46239.8812962963</x:v>
      </x:c>
      <x:c r="B12" s="23" t="str">
        <x:v>519a734ff3c7</x:v>
      </x:c>
      <x:c r="C12" s="23" t="n">
        <x:v>90</x:v>
      </x:c>
      <x:c r="D12" s="23" t="n">
        <x:v>90</x:v>
      </x:c>
      <x:c r="E12" s="23" t="n">
        <x:v>0</x:v>
      </x:c>
      <x:c r="F12" s="23" t="n">
        <x:v>0</x:v>
      </x:c>
      <x:c r="G12" s="23" t="n">
        <x:v>0</x:v>
      </x:c>
      <x:c r="H12" s="130" t="n">
        <x:v>1</x:v>
      </x:c>
      <x:c r="I12" s="29" t="n">
        <x:v>0.375</x:v>
      </x:c>
      <x:c r="J12" s="23" t="n">
        <x:v>0</x:v>
      </x:c>
    </x:row>
    <x:row r="13">
      <x:c r="A13" s="127" t="n">
        <x:v>46239.88239583334</x:v>
      </x:c>
      <x:c r="B13" s="23" t="str">
        <x:v>519a734ff3c7</x:v>
      </x:c>
      <x:c r="C13" s="23" t="n">
        <x:v>90</x:v>
      </x:c>
      <x:c r="D13" s="23" t="n">
        <x:v>90</x:v>
      </x:c>
      <x:c r="E13" s="23" t="n">
        <x:v>0</x:v>
      </x:c>
      <x:c r="F13" s="23" t="n">
        <x:v>0</x:v>
      </x:c>
      <x:c r="G13" s="23" t="n">
        <x:v>0</x:v>
      </x:c>
      <x:c r="H13" s="130" t="n">
        <x:v>1</x:v>
      </x:c>
      <x:c r="I13" s="29" t="n">
        <x:v>0.343</x:v>
      </x:c>
      <x:c r="J13" s="23" t="n">
        <x:v>0</x:v>
      </x:c>
    </x:row>
    <x:row r="14">
      <x:c r="A14" s="127" t="n">
        <x:v>46239.88403935185</x:v>
      </x:c>
      <x:c r="B14" s="23" t="str">
        <x:v>519a734ff3c7</x:v>
      </x:c>
      <x:c r="C14" s="23" t="n">
        <x:v>91</x:v>
      </x:c>
      <x:c r="D14" s="23" t="n">
        <x:v>91</x:v>
      </x:c>
      <x:c r="E14" s="23" t="n">
        <x:v>0</x:v>
      </x:c>
      <x:c r="F14" s="23" t="n">
        <x:v>0</x:v>
      </x:c>
      <x:c r="G14" s="23" t="n">
        <x:v>0</x:v>
      </x:c>
      <x:c r="H14" s="130" t="n">
        <x:v>1</x:v>
      </x:c>
      <x:c r="I14" s="29" t="n">
        <x:v>0.339</x:v>
      </x:c>
      <x:c r="J14" s="23" t="n">
        <x:v>0</x:v>
      </x:c>
    </x:row>
    <x:row r="15">
      <x:c r="A15" s="127" t="n">
        <x:v>46239.91615740741</x:v>
      </x:c>
      <x:c r="B15" s="23" t="str">
        <x:v>f3d615021e34</x:v>
      </x:c>
      <x:c r="C15" s="23" t="n">
        <x:v>103</x:v>
      </x:c>
      <x:c r="D15" s="23" t="n">
        <x:v>103</x:v>
      </x:c>
      <x:c r="E15" s="23" t="n">
        <x:v>0</x:v>
      </x:c>
      <x:c r="F15" s="23" t="n">
        <x:v>0</x:v>
      </x:c>
      <x:c r="G15" s="23" t="n">
        <x:v>0</x:v>
      </x:c>
      <x:c r="H15" s="130" t="n">
        <x:v>1</x:v>
      </x:c>
      <x:c r="I15" s="29" t="n">
        <x:v>0.514</x:v>
      </x:c>
      <x:c r="J15" s="23" t="n">
        <x:v>0</x:v>
      </x:c>
    </x:row>
    <x:row r="16">
      <x:c r="A16" s="127" t="n">
        <x:v>46244.58655092593</x:v>
      </x:c>
      <x:c r="B16" s="23" t="str">
        <x:v>3cca3c5b18d5</x:v>
      </x:c>
      <x:c r="C16" s="23" t="n">
        <x:v>110</x:v>
      </x:c>
      <x:c r="D16" s="23" t="n">
        <x:v>110</x:v>
      </x:c>
      <x:c r="E16" s="23" t="n">
        <x:v>0</x:v>
      </x:c>
      <x:c r="F16" s="23" t="n">
        <x:v>0</x:v>
      </x:c>
      <x:c r="G16" s="23" t="n">
        <x:v>0</x:v>
      </x:c>
      <x:c r="H16" s="130" t="n">
        <x:v>1</x:v>
      </x:c>
      <x:c r="I16" s="29" t="n">
        <x:v>1.315</x:v>
      </x:c>
      <x:c r="J16" s="23" t="n">
        <x:v>0</x:v>
      </x:c>
    </x:row>
    <x:row r="17">
      <x:c r="A17" s="127" t="n">
        <x:v>46245.70303240741</x:v>
      </x:c>
      <x:c r="B17" s="23" t="str">
        <x:v>efd3b08cbf44</x:v>
      </x:c>
      <x:c r="C17" s="23" t="n">
        <x:v>115</x:v>
      </x:c>
      <x:c r="D17" s="23" t="n">
        <x:v>115</x:v>
      </x:c>
      <x:c r="E17" s="23" t="n">
        <x:v>0</x:v>
      </x:c>
      <x:c r="F17" s="23" t="n">
        <x:v>0</x:v>
      </x:c>
      <x:c r="G17" s="23" t="n">
        <x:v>0</x:v>
      </x:c>
      <x:c r="H17" s="130" t="n">
        <x:v>1</x:v>
      </x:c>
      <x:c r="I17" s="29" t="n">
        <x:v>0.626</x:v>
      </x:c>
      <x:c r="J17" s="23" t="n">
        <x:v>0</x:v>
      </x:c>
    </x:row>
    <x:row r="18">
      <x:c r="A18" s="127" t="n">
        <x:v>46245.70657407407</x:v>
      </x:c>
      <x:c r="B18" s="23" t="str">
        <x:v>efd3b08cbf44</x:v>
      </x:c>
      <x:c r="C18" s="23" t="n">
        <x:v>115</x:v>
      </x:c>
      <x:c r="D18" s="23" t="n">
        <x:v>115</x:v>
      </x:c>
      <x:c r="E18" s="23" t="n">
        <x:v>0</x:v>
      </x:c>
      <x:c r="F18" s="23" t="n">
        <x:v>0</x:v>
      </x:c>
      <x:c r="G18" s="23" t="n">
        <x:v>0</x:v>
      </x:c>
      <x:c r="H18" s="130" t="n">
        <x:v>1</x:v>
      </x:c>
      <x:c r="I18" s="29" t="n">
        <x:v>0.561</x:v>
      </x:c>
      <x:c r="J18" s="23" t="n">
        <x:v>0</x:v>
      </x:c>
    </x:row>
    <x:row r="19">
      <x:c r="A19" s="127" t="n">
        <x:v>46245.755532407406</x:v>
      </x:c>
      <x:c r="B19" s="23" t="str">
        <x:v>7b47742b4c46</x:v>
      </x:c>
      <x:c r="C19" s="23" t="n">
        <x:v>119</x:v>
      </x:c>
      <x:c r="D19" s="23" t="n">
        <x:v>119</x:v>
      </x:c>
      <x:c r="E19" s="23" t="n">
        <x:v>0</x:v>
      </x:c>
      <x:c r="F19" s="23" t="n">
        <x:v>0</x:v>
      </x:c>
      <x:c r="G19" s="23" t="n">
        <x:v>0</x:v>
      </x:c>
      <x:c r="H19" s="130" t="n">
        <x:v>1</x:v>
      </x:c>
      <x:c r="I19" s="29" t="n">
        <x:v>0.825</x:v>
      </x:c>
      <x:c r="J19" s="23" t="n">
        <x:v>0</x:v>
      </x:c>
    </x:row>
    <x:row r="20">
      <x:c r="A20" s="127" t="n">
        <x:v>46245.976273148146</x:v>
      </x:c>
      <x:c r="B20" s="23" t="str">
        <x:v>2a506671c3eb</x:v>
      </x:c>
      <x:c r="C20" s="23" t="n">
        <x:v>127</x:v>
      </x:c>
      <x:c r="D20" s="23" t="n">
        <x:v>127</x:v>
      </x:c>
      <x:c r="E20" s="23" t="n">
        <x:v>0</x:v>
      </x:c>
      <x:c r="F20" s="23" t="n">
        <x:v>0</x:v>
      </x:c>
      <x:c r="G20" s="23" t="n">
        <x:v>0</x:v>
      </x:c>
      <x:c r="H20" s="130" t="n">
        <x:v>1</x:v>
      </x:c>
      <x:c r="I20" s="29" t="n">
        <x:v>0.771</x:v>
      </x:c>
      <x:c r="J20" s="23" t="n">
        <x:v>0</x:v>
      </x:c>
    </x:row>
    <x:row r="21">
      <x:c r="A21" s="127" t="n">
        <x:v>46246.65422453704</x:v>
      </x:c>
      <x:c r="B21" s="23" t="str">
        <x:v>ed7c0a0dbdc7</x:v>
      </x:c>
      <x:c r="C21" s="23" t="n">
        <x:v>128</x:v>
      </x:c>
      <x:c r="D21" s="23" t="n">
        <x:v>128</x:v>
      </x:c>
      <x:c r="E21" s="23" t="n">
        <x:v>0</x:v>
      </x:c>
      <x:c r="F21" s="23" t="n">
        <x:v>0</x:v>
      </x:c>
      <x:c r="G21" s="23" t="n">
        <x:v>0</x:v>
      </x:c>
      <x:c r="H21" s="130" t="n">
        <x:v>1</x:v>
      </x:c>
      <x:c r="I21" s="29" t="n">
        <x:v>1.215</x:v>
      </x:c>
      <x:c r="J21" s="23" t="n">
        <x:v>0</x:v>
      </x:c>
    </x:row>
    <x:row r="22">
      <x:c r="A22" s="127" t="n">
        <x:v>46246.669861111106</x:v>
      </x:c>
      <x:c r="B22" s="23" t="str">
        <x:v>5c401b0f9b28</x:v>
      </x:c>
      <x:c r="C22" s="23" t="n">
        <x:v>133</x:v>
      </x:c>
      <x:c r="D22" s="23" t="n">
        <x:v>133</x:v>
      </x:c>
      <x:c r="E22" s="23" t="n">
        <x:v>0</x:v>
      </x:c>
      <x:c r="F22" s="23" t="n">
        <x:v>0</x:v>
      </x:c>
      <x:c r="G22" s="23" t="n">
        <x:v>0</x:v>
      </x:c>
      <x:c r="H22" s="130" t="n">
        <x:v>1</x:v>
      </x:c>
      <x:c r="I22" s="29" t="n">
        <x:v>1.871</x:v>
      </x:c>
      <x:c r="J22" s="23" t="n">
        <x:v>0</x:v>
      </x:c>
    </x:row>
    <x:row r="23">
      <x:c r="A23" s="127" t="n">
        <x:v>46246.6902662037</x:v>
      </x:c>
      <x:c r="B23" s="23" t="str">
        <x:v>7270f332c949</x:v>
      </x:c>
      <x:c r="C23" s="23" t="n">
        <x:v>138</x:v>
      </x:c>
      <x:c r="D23" s="23" t="n">
        <x:v>138</x:v>
      </x:c>
      <x:c r="E23" s="23" t="n">
        <x:v>0</x:v>
      </x:c>
      <x:c r="F23" s="23" t="n">
        <x:v>0</x:v>
      </x:c>
      <x:c r="G23" s="23" t="n">
        <x:v>0</x:v>
      </x:c>
      <x:c r="H23" s="130" t="n">
        <x:v>1</x:v>
      </x:c>
      <x:c r="I23" s="29" t="n">
        <x:v>0.696</x:v>
      </x:c>
      <x:c r="J23" s="23" t="n">
        <x:v>0</x:v>
      </x:c>
    </x:row>
    <x:row r="24">
      <x:c r="A24" s="127" t="n">
        <x:v>46246.720763888894</x:v>
      </x:c>
      <x:c r="B24" s="23" t="str">
        <x:v>f77292e476ba</x:v>
      </x:c>
      <x:c r="C24" s="23" t="n">
        <x:v>146</x:v>
      </x:c>
      <x:c r="D24" s="23" t="n">
        <x:v>146</x:v>
      </x:c>
      <x:c r="E24" s="23" t="n">
        <x:v>0</x:v>
      </x:c>
      <x:c r="F24" s="23" t="n">
        <x:v>0</x:v>
      </x:c>
      <x:c r="G24" s="23" t="n">
        <x:v>0</x:v>
      </x:c>
      <x:c r="H24" s="130" t="n">
        <x:v>1</x:v>
      </x:c>
      <x:c r="I24" s="29" t="n">
        <x:v>0.906</x:v>
      </x:c>
      <x:c r="J24" s="23" t="n">
        <x:v>0</x:v>
      </x:c>
    </x:row>
    <x:row r="25">
      <x:c r="A25" s="127" t="n">
        <x:v>46246.73452546296</x:v>
      </x:c>
      <x:c r="B25" s="23" t="str">
        <x:v>e9c0a88608f4</x:v>
      </x:c>
      <x:c r="C25" s="23" t="n">
        <x:v>151</x:v>
      </x:c>
      <x:c r="D25" s="23" t="n">
        <x:v>151</x:v>
      </x:c>
      <x:c r="E25" s="23" t="n">
        <x:v>0</x:v>
      </x:c>
      <x:c r="F25" s="23" t="n">
        <x:v>0</x:v>
      </x:c>
      <x:c r="G25" s="23" t="n">
        <x:v>0</x:v>
      </x:c>
      <x:c r="H25" s="130" t="n">
        <x:v>1</x:v>
      </x:c>
      <x:c r="I25" s="29" t="n">
        <x:v>1.96</x:v>
      </x:c>
      <x:c r="J25" s="23" t="n">
        <x:v>0</x:v>
      </x:c>
    </x:row>
    <x:row r="26">
      <x:c r="A26" s="127" t="n">
        <x:v>46246.75346064815</x:v>
      </x:c>
      <x:c r="B26" s="23" t="str">
        <x:v>37c9997d21ad</x:v>
      </x:c>
      <x:c r="C26" s="23" t="n">
        <x:v>157</x:v>
      </x:c>
      <x:c r="D26" s="23" t="n">
        <x:v>157</x:v>
      </x:c>
      <x:c r="E26" s="23" t="n">
        <x:v>0</x:v>
      </x:c>
      <x:c r="F26" s="23" t="n">
        <x:v>0</x:v>
      </x:c>
      <x:c r="G26" s="23" t="n">
        <x:v>0</x:v>
      </x:c>
      <x:c r="H26" s="130" t="n">
        <x:v>1</x:v>
      </x:c>
      <x:c r="I26" s="29" t="n">
        <x:v>2.585</x:v>
      </x:c>
      <x:c r="J26" s="23" t="n">
        <x:v>0</x:v>
      </x:c>
    </x:row>
    <x:row r="27">
      <x:c r="A27" s="127" t="n">
        <x:v>46246.75987268519</x:v>
      </x:c>
      <x:c r="B27" s="23" t="str">
        <x:v>5314fb87aafe</x:v>
      </x:c>
      <x:c r="C27" s="23" t="n">
        <x:v>162</x:v>
      </x:c>
      <x:c r="D27" s="23" t="n">
        <x:v>162</x:v>
      </x:c>
      <x:c r="E27" s="23" t="n">
        <x:v>0</x:v>
      </x:c>
      <x:c r="F27" s="23" t="n">
        <x:v>0</x:v>
      </x:c>
      <x:c r="G27" s="23" t="n">
        <x:v>0</x:v>
      </x:c>
      <x:c r="H27" s="130" t="n">
        <x:v>1</x:v>
      </x:c>
      <x:c r="I27" s="29" t="n">
        <x:v>3.796</x:v>
      </x:c>
      <x:c r="J27" s="23" t="n">
        <x:v>0</x:v>
      </x:c>
    </x:row>
    <x:row r="28">
      <x:c r="A28" s="127" t="n">
        <x:v>46246.76688657407</x:v>
      </x:c>
      <x:c r="B28" s="23" t="str">
        <x:v>d75521bf2c78</x:v>
      </x:c>
      <x:c r="C28" s="23" t="n">
        <x:v>166</x:v>
      </x:c>
      <x:c r="D28" s="23" t="n">
        <x:v>165</x:v>
      </x:c>
      <x:c r="E28" s="23" t="n">
        <x:v>1</x:v>
      </x:c>
      <x:c r="F28" s="23" t="n">
        <x:v>0</x:v>
      </x:c>
      <x:c r="G28" s="23" t="n">
        <x:v>0</x:v>
      </x:c>
      <x:c r="H28" s="130" t="n">
        <x:v>0.9940000000000001</x:v>
      </x:c>
      <x:c r="I28" s="29" t="n">
        <x:v>5.896</x:v>
      </x:c>
      <x:c r="J28" s="23" t="n">
        <x:v>1</x:v>
      </x:c>
    </x:row>
    <x:row r="29">
      <x:c r="A29" s="127" t="n">
        <x:v>46246.76767361111</x:v>
      </x:c>
      <x:c r="B29" s="23" t="str">
        <x:v>d75521bf2c78</x:v>
      </x:c>
      <x:c r="C29" s="23" t="n">
        <x:v>166</x:v>
      </x:c>
      <x:c r="D29" s="23" t="n">
        <x:v>166</x:v>
      </x:c>
      <x:c r="E29" s="23" t="n">
        <x:v>0</x:v>
      </x:c>
      <x:c r="F29" s="23" t="n">
        <x:v>0</x:v>
      </x:c>
      <x:c r="G29" s="23" t="n">
        <x:v>0</x:v>
      </x:c>
      <x:c r="H29" s="130" t="n">
        <x:v>1</x:v>
      </x:c>
      <x:c r="I29" s="29" t="n">
        <x:v>4.712</x:v>
      </x:c>
      <x:c r="J29" s="23" t="n">
        <x:v>0</x:v>
      </x:c>
    </x:row>
    <x:row r="30">
      <x:c r="A30" s="127" t="n">
        <x:v>46246.76846064815</x:v>
      </x:c>
      <x:c r="B30" s="23" t="str">
        <x:v>d75521bf2c78</x:v>
      </x:c>
      <x:c r="C30" s="23" t="n">
        <x:v>166</x:v>
      </x:c>
      <x:c r="D30" s="23" t="n">
        <x:v>166</x:v>
      </x:c>
      <x:c r="E30" s="23" t="n">
        <x:v>0</x:v>
      </x:c>
      <x:c r="F30" s="23" t="n">
        <x:v>0</x:v>
      </x:c>
      <x:c r="G30" s="23" t="n">
        <x:v>0</x:v>
      </x:c>
      <x:c r="H30" s="130" t="n">
        <x:v>1</x:v>
      </x:c>
      <x:c r="I30" s="29" t="n">
        <x:v>5.033</x:v>
      </x:c>
      <x:c r="J30" s="23" t="n">
        <x:v>0</x:v>
      </x:c>
    </x:row>
    <x:row r="31">
      <x:c r="A31" s="127" t="n">
        <x:v>46246.772731481484</x:v>
      </x:c>
      <x:c r="B31" s="23" t="str">
        <x:v>0fcde025e9b0</x:v>
      </x:c>
      <x:c r="C31" s="23" t="n">
        <x:v>169</x:v>
      </x:c>
      <x:c r="D31" s="23" t="n">
        <x:v>169</x:v>
      </x:c>
      <x:c r="E31" s="23" t="n">
        <x:v>0</x:v>
      </x:c>
      <x:c r="F31" s="23" t="n">
        <x:v>0</x:v>
      </x:c>
      <x:c r="G31" s="23" t="n">
        <x:v>0</x:v>
      </x:c>
      <x:c r="H31" s="130" t="n">
        <x:v>1</x:v>
      </x:c>
      <x:c r="I31" s="29" t="n">
        <x:v>4.774</x:v>
      </x:c>
      <x:c r="J31" s="23" t="n">
        <x:v>0</x:v>
      </x:c>
    </x:row>
    <x:row r="32">
      <x:c r="A32" s="127" t="n">
        <x:v>46246.778229166666</x:v>
      </x:c>
      <x:c r="B32" s="23" t="str">
        <x:v>cd255169d67c</x:v>
      </x:c>
      <x:c r="C32" s="23" t="n">
        <x:v>173</x:v>
      </x:c>
      <x:c r="D32" s="23" t="n">
        <x:v>173</x:v>
      </x:c>
      <x:c r="E32" s="23" t="n">
        <x:v>0</x:v>
      </x:c>
      <x:c r="F32" s="23" t="n">
        <x:v>0</x:v>
      </x:c>
      <x:c r="G32" s="23" t="n">
        <x:v>0</x:v>
      </x:c>
      <x:c r="H32" s="130" t="n">
        <x:v>1</x:v>
      </x:c>
      <x:c r="I32" s="29" t="n">
        <x:v>5.89</x:v>
      </x:c>
      <x:c r="J32" s="23" t="n">
        <x:v>0</x:v>
      </x:c>
    </x:row>
    <x:row r="33">
      <x:c r="A33" s="127" t="n">
        <x:v>46246.94804398148</x:v>
      </x:c>
      <x:c r="B33" s="23" t="str">
        <x:v>aa4c1d16def5</x:v>
      </x:c>
      <x:c r="C33" s="23" t="n">
        <x:v>177</x:v>
      </x:c>
      <x:c r="D33" s="23" t="n">
        <x:v>177</x:v>
      </x:c>
      <x:c r="E33" s="23" t="n">
        <x:v>0</x:v>
      </x:c>
      <x:c r="F33" s="23" t="n">
        <x:v>0</x:v>
      </x:c>
      <x:c r="G33" s="23" t="n">
        <x:v>0</x:v>
      </x:c>
      <x:c r="H33" s="130" t="n">
        <x:v>1</x:v>
      </x:c>
      <x:c r="I33" s="29" t="n">
        <x:v>5.043</x:v>
      </x:c>
      <x:c r="J33" s="23" t="n">
        <x:v>0</x:v>
      </x:c>
    </x:row>
    <x:row r="34">
      <x:c r="A34" s="127" t="n">
        <x:v>46246.96125</x:v>
      </x:c>
      <x:c r="B34" s="23" t="str">
        <x:v>8cb7ee9214a9</x:v>
      </x:c>
      <x:c r="C34" s="23" t="n">
        <x:v>179</x:v>
      </x:c>
      <x:c r="D34" s="23" t="n">
        <x:v>179</x:v>
      </x:c>
      <x:c r="E34" s="23" t="n">
        <x:v>0</x:v>
      </x:c>
      <x:c r="F34" s="23" t="n">
        <x:v>0</x:v>
      </x:c>
      <x:c r="G34" s="23" t="n">
        <x:v>0</x:v>
      </x:c>
      <x:c r="H34" s="130" t="n">
        <x:v>1</x:v>
      </x:c>
      <x:c r="I34" s="29" t="n">
        <x:v>5.157</x:v>
      </x:c>
      <x:c r="J34" s="23" t="n">
        <x:v>0</x:v>
      </x:c>
    </x:row>
    <x:row r="35">
      <x:c r="A35" s="127" t="n">
        <x:v>46246.97023148148</x:v>
      </x:c>
      <x:c r="B35" s="23" t="str">
        <x:v>0fc32a4d2b36</x:v>
      </x:c>
      <x:c r="C35" s="23" t="n">
        <x:v>183</x:v>
      </x:c>
      <x:c r="D35" s="23" t="n">
        <x:v>183</x:v>
      </x:c>
      <x:c r="E35" s="23" t="n">
        <x:v>0</x:v>
      </x:c>
      <x:c r="F35" s="23" t="n">
        <x:v>0</x:v>
      </x:c>
      <x:c r="G35" s="23" t="n">
        <x:v>0</x:v>
      </x:c>
      <x:c r="H35" s="130" t="n">
        <x:v>1</x:v>
      </x:c>
      <x:c r="I35" s="29" t="n">
        <x:v>25.685</x:v>
      </x:c>
      <x:c r="J35" s="23" t="n">
        <x:v>0</x:v>
      </x:c>
    </x:row>
    <x:row r="36">
      <x:c r="A36" s="127" t="n">
        <x:v>46246.97760416666</x:v>
      </x:c>
      <x:c r="B36" s="23" t="str">
        <x:v>e266587bd5a6</x:v>
      </x:c>
      <x:c r="C36" s="23" t="n">
        <x:v>187</x:v>
      </x:c>
      <x:c r="D36" s="23" t="n">
        <x:v>187</x:v>
      </x:c>
      <x:c r="E36" s="23" t="n">
        <x:v>0</x:v>
      </x:c>
      <x:c r="F36" s="23" t="n">
        <x:v>0</x:v>
      </x:c>
      <x:c r="G36" s="23" t="n">
        <x:v>0</x:v>
      </x:c>
      <x:c r="H36" s="130" t="n">
        <x:v>1</x:v>
      </x:c>
      <x:c r="I36" s="29" t="n">
        <x:v>27.694</x:v>
      </x:c>
      <x:c r="J36" s="23" t="n">
        <x:v>0</x:v>
      </x:c>
    </x:row>
    <x:row r="37">
      <x:c r="A37" s="127" t="n">
        <x:v>46246.98712962963</x:v>
      </x:c>
      <x:c r="B37" s="23" t="str">
        <x:v>619978fc79ca</x:v>
      </x:c>
      <x:c r="C37" s="23" t="n">
        <x:v>190</x:v>
      </x:c>
      <x:c r="D37" s="23" t="n">
        <x:v>190</x:v>
      </x:c>
      <x:c r="E37" s="23" t="n">
        <x:v>0</x:v>
      </x:c>
      <x:c r="F37" s="23" t="n">
        <x:v>0</x:v>
      </x:c>
      <x:c r="G37" s="23" t="n">
        <x:v>0</x:v>
      </x:c>
      <x:c r="H37" s="130" t="n">
        <x:v>1</x:v>
      </x:c>
      <x:c r="I37" s="29" t="n">
        <x:v>27.04</x:v>
      </x:c>
      <x:c r="J37" s="23" t="n">
        <x:v>0</x:v>
      </x:c>
    </x:row>
    <x:row r="38">
      <x:c r="A38" s="127" t="n">
        <x:v>46247.008738425924</x:v>
      </x:c>
      <x:c r="B38" s="23" t="str">
        <x:v>a27dabc25c4b</x:v>
      </x:c>
      <x:c r="C38" s="23" t="n">
        <x:v>194</x:v>
      </x:c>
      <x:c r="D38" s="23" t="n">
        <x:v>194</x:v>
      </x:c>
      <x:c r="E38" s="23" t="n">
        <x:v>0</x:v>
      </x:c>
      <x:c r="F38" s="23" t="n">
        <x:v>0</x:v>
      </x:c>
      <x:c r="G38" s="23" t="n">
        <x:v>0</x:v>
      </x:c>
      <x:c r="H38" s="130" t="n">
        <x:v>1</x:v>
      </x:c>
      <x:c r="I38" s="29" t="n">
        <x:v>67.665</x:v>
      </x:c>
      <x:c r="J38" s="23" t="n">
        <x:v>0</x:v>
      </x:c>
    </x:row>
    <x:row r="39">
      <x:c r="A39" s="127" t="n">
        <x:v>46247.395324074074</x:v>
      </x:c>
      <x:c r="B39" s="23" t="str">
        <x:v>a119c6647fea</x:v>
      </x:c>
      <x:c r="C39" s="23" t="n">
        <x:v>197</x:v>
      </x:c>
      <x:c r="D39" s="23" t="n">
        <x:v>196</x:v>
      </x:c>
      <x:c r="E39" s="23" t="n">
        <x:v>1</x:v>
      </x:c>
      <x:c r="F39" s="23" t="n">
        <x:v>0</x:v>
      </x:c>
      <x:c r="G39" s="23" t="n">
        <x:v>0</x:v>
      </x:c>
      <x:c r="H39" s="130" t="n">
        <x:v>0.9948999999999999</x:v>
      </x:c>
      <x:c r="I39" s="29" t="n">
        <x:v>260.924</x:v>
      </x:c>
      <x:c r="J39" s="23" t="n">
        <x:v>1</x:v>
      </x:c>
    </x:row>
    <x:row r="40">
      <x:c r="A40" s="127" t="n">
        <x:v>46247.399375</x:v>
      </x:c>
      <x:c r="B40" s="23" t="str">
        <x:v>a119c6647fea</x:v>
      </x:c>
      <x:c r="C40" s="23" t="n">
        <x:v>197</x:v>
      </x:c>
      <x:c r="D40" s="23" t="n">
        <x:v>197</x:v>
      </x:c>
      <x:c r="E40" s="23" t="n">
        <x:v>0</x:v>
      </x:c>
      <x:c r="F40" s="23" t="n">
        <x:v>0</x:v>
      </x:c>
      <x:c r="G40" s="23" t="n">
        <x:v>0</x:v>
      </x:c>
      <x:c r="H40" s="130" t="n">
        <x:v>1</x:v>
      </x:c>
      <x:c r="I40" s="29" t="n">
        <x:v>256.3</x:v>
      </x:c>
      <x:c r="J40" s="23" t="n">
        <x:v>0</x:v>
      </x:c>
    </x:row>
    <x:row r="41">
      <x:c r="A41" s="127" t="n">
        <x:v>46247.415497685186</x:v>
      </x:c>
      <x:c r="B41" s="23" t="str">
        <x:v>04c22a0c496d</x:v>
      </x:c>
      <x:c r="C41" s="23" t="n">
        <x:v>200</x:v>
      </x:c>
      <x:c r="D41" s="23" t="n">
        <x:v>200</x:v>
      </x:c>
      <x:c r="E41" s="23" t="n">
        <x:v>0</x:v>
      </x:c>
      <x:c r="F41" s="23" t="n">
        <x:v>0</x:v>
      </x:c>
      <x:c r="G41" s="23" t="n">
        <x:v>0</x:v>
      </x:c>
      <x:c r="H41" s="130" t="n">
        <x:v>1</x:v>
      </x:c>
      <x:c r="I41" s="29" t="n">
        <x:v>185.236</x:v>
      </x:c>
      <x:c r="J41" s="23" t="n">
        <x:v>0</x:v>
      </x:c>
    </x:row>
    <x:row r="42">
      <x:c r="A42" s="127" t="n">
        <x:v>46247.42736111111</x:v>
      </x:c>
      <x:c r="B42" s="23" t="str">
        <x:v>7f436ea669c2</x:v>
      </x:c>
      <x:c r="C42" s="23" t="n">
        <x:v>201</x:v>
      </x:c>
      <x:c r="D42" s="23" t="n">
        <x:v>201</x:v>
      </x:c>
      <x:c r="E42" s="23" t="n">
        <x:v>0</x:v>
      </x:c>
      <x:c r="F42" s="23" t="n">
        <x:v>0</x:v>
      </x:c>
      <x:c r="G42" s="23" t="n">
        <x:v>0</x:v>
      </x:c>
      <x:c r="H42" s="130" t="n">
        <x:v>1</x:v>
      </x:c>
      <x:c r="I42" s="29" t="n">
        <x:v>133.351</x:v>
      </x:c>
      <x:c r="J42" s="23" t="n">
        <x:v>0</x:v>
      </x:c>
    </x:row>
    <x:row r="43">
      <x:c r="A43" s="127" t="n">
        <x:v>46247.44788194445</x:v>
      </x:c>
      <x:c r="B43" s="23" t="str">
        <x:v>fa64c7c71283</x:v>
      </x:c>
      <x:c r="C43" s="23" t="n">
        <x:v>203</x:v>
      </x:c>
      <x:c r="D43" s="23" t="n">
        <x:v>203</x:v>
      </x:c>
      <x:c r="E43" s="23" t="n">
        <x:v>0</x:v>
      </x:c>
      <x:c r="F43" s="23" t="n">
        <x:v>0</x:v>
      </x:c>
      <x:c r="G43" s="23" t="n">
        <x:v>0</x:v>
      </x:c>
      <x:c r="H43" s="130" t="n">
        <x:v>1</x:v>
      </x:c>
      <x:c r="I43" s="29" t="n">
        <x:v>266.505</x:v>
      </x:c>
      <x:c r="J43" s="23" t="n">
        <x:v>0</x:v>
      </x:c>
    </x:row>
    <x:row r="44">
      <x:c r="A44" s="128" t="n">
        <x:v>46247.46724537037</x:v>
      </x:c>
      <x:c r="B44" s="24" t="str">
        <x:v>39a19fca1f84</x:v>
      </x:c>
      <x:c r="C44" s="24" t="n">
        <x:v>205</x:v>
      </x:c>
      <x:c r="D44" s="24" t="n">
        <x:v>205</x:v>
      </x:c>
      <x:c r="E44" s="24" t="n">
        <x:v>0</x:v>
      </x:c>
      <x:c r="F44" s="24" t="n">
        <x:v>0</x:v>
      </x:c>
      <x:c r="G44" s="24" t="n">
        <x:v>0</x:v>
      </x:c>
      <x:c r="H44" s="131" t="n">
        <x:v>1</x:v>
      </x:c>
      <x:c r="I44" s="30" t="n">
        <x:v>133.422</x:v>
      </x:c>
      <x:c r="J44" s="24" t="n">
        <x:v>0</x:v>
      </x:c>
    </x:row>
  </x:sheetData>
  <x:mergeCells>
    <x:mergeCell ref="A1:J1"/>
  </x:mergeCells>
  <x:pageMargins left="0.7" right="0.7" top="0.75" bottom="0.75" header="0.3" footer="0.3"/>
  <x:tableParts count="1">
    <x:tablePart xmlns:r="http://schemas.openxmlformats.org/officeDocument/2006/relationships" r:id="R581d0fc40e8740fd"/>
  </x:tableParts>
</x:worksheet>
</file>